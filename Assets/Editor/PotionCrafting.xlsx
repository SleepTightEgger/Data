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tare\Desktop\Exercise\Assets\Editor\"/>
    </mc:Choice>
  </mc:AlternateContent>
  <xr:revisionPtr revIDLastSave="0" documentId="13_ncr:1_{983BA997-E438-45E6-9597-990BADC6BF9E}" xr6:coauthVersionLast="47" xr6:coauthVersionMax="47" xr10:uidLastSave="{00000000-0000-0000-0000-000000000000}"/>
  <bookViews>
    <workbookView xWindow="-120" yWindow="-120" windowWidth="29040" windowHeight="17520" xr2:uid="{BF5A99BE-0962-40A7-B624-F4241E3A742A}"/>
  </bookViews>
  <sheets>
    <sheet name="Potion Crafting" sheetId="1" r:id="rId1"/>
    <sheet name="Categories" sheetId="2" r:id="rId2"/>
  </sheets>
  <definedNames>
    <definedName name="IngredientRarity">Ingredients[Rarity]</definedName>
    <definedName name="PotionRarity">Potions[Rarity]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1" l="1"/>
  <c r="Y23" i="1"/>
  <c r="AC23" i="1"/>
  <c r="AH23" i="1" s="1" a="1"/>
  <c r="AH23" i="1" s="1"/>
  <c r="AD23" i="1"/>
  <c r="AE23" i="1"/>
  <c r="AF23" i="1"/>
  <c r="AI23" i="1"/>
  <c r="AJ23" i="1"/>
  <c r="AK23" i="1"/>
  <c r="AM23" i="1"/>
  <c r="L17" i="1"/>
  <c r="M17" i="1"/>
  <c r="D20" i="1"/>
  <c r="F20" i="1" s="1" a="1"/>
  <c r="F20" i="1" s="1"/>
  <c r="G20" i="1"/>
  <c r="T24" i="1"/>
  <c r="J18" i="1"/>
  <c r="E22" i="1"/>
  <c r="B22" i="1"/>
  <c r="C29" i="1"/>
  <c r="U11" i="1"/>
  <c r="Y11" i="1"/>
  <c r="AI11" i="1" s="1"/>
  <c r="AC11" i="1"/>
  <c r="AD11" i="1"/>
  <c r="AE11" i="1"/>
  <c r="AF11" i="1"/>
  <c r="AM11" i="1"/>
  <c r="AA23" i="1" l="1"/>
  <c r="AL23" i="1"/>
  <c r="AG23" i="1"/>
  <c r="Z23" i="1" s="1"/>
  <c r="AK11" i="1"/>
  <c r="AJ11" i="1"/>
  <c r="U12" i="1"/>
  <c r="Y12" i="1"/>
  <c r="AC12" i="1"/>
  <c r="AD12" i="1"/>
  <c r="AE12" i="1"/>
  <c r="AF12" i="1"/>
  <c r="AM12" i="1"/>
  <c r="U13" i="1"/>
  <c r="Y13" i="1"/>
  <c r="AC13" i="1"/>
  <c r="AD13" i="1"/>
  <c r="AE13" i="1"/>
  <c r="AF13" i="1"/>
  <c r="AM13" i="1"/>
  <c r="U18" i="1"/>
  <c r="Y18" i="1"/>
  <c r="AC18" i="1"/>
  <c r="AD18" i="1"/>
  <c r="AE18" i="1"/>
  <c r="AF18" i="1"/>
  <c r="AM18" i="1"/>
  <c r="U22" i="1"/>
  <c r="Y22" i="1"/>
  <c r="AC22" i="1"/>
  <c r="AD22" i="1"/>
  <c r="AE22" i="1"/>
  <c r="AF22" i="1"/>
  <c r="AM22" i="1"/>
  <c r="G9" i="1"/>
  <c r="G5" i="1"/>
  <c r="G8" i="1"/>
  <c r="G6" i="1"/>
  <c r="G11" i="1"/>
  <c r="G10" i="1"/>
  <c r="G13" i="1"/>
  <c r="G12" i="1"/>
  <c r="G14" i="1"/>
  <c r="G16" i="1"/>
  <c r="G17" i="1"/>
  <c r="G15" i="1"/>
  <c r="G18" i="1"/>
  <c r="G19" i="1"/>
  <c r="G21" i="1"/>
  <c r="L9" i="1"/>
  <c r="AH11" i="1" s="1" a="1"/>
  <c r="AH11" i="1" s="1"/>
  <c r="M9" i="1"/>
  <c r="U14" i="1"/>
  <c r="Y14" i="1"/>
  <c r="AC14" i="1"/>
  <c r="AD14" i="1"/>
  <c r="AE14" i="1"/>
  <c r="AF14" i="1"/>
  <c r="AM14" i="1"/>
  <c r="L10" i="1"/>
  <c r="M10" i="1"/>
  <c r="U5" i="1"/>
  <c r="Y5" i="1"/>
  <c r="AC5" i="1"/>
  <c r="AD5" i="1"/>
  <c r="AE5" i="1"/>
  <c r="AF5" i="1"/>
  <c r="AM5" i="1"/>
  <c r="U9" i="1"/>
  <c r="Y9" i="1"/>
  <c r="AC9" i="1"/>
  <c r="AD9" i="1"/>
  <c r="AE9" i="1"/>
  <c r="AF9" i="1"/>
  <c r="AM9" i="1"/>
  <c r="AC6" i="1"/>
  <c r="AC7" i="1"/>
  <c r="AC8" i="1"/>
  <c r="AC17" i="1"/>
  <c r="AC15" i="1"/>
  <c r="AC10" i="1"/>
  <c r="AC21" i="1"/>
  <c r="AC16" i="1"/>
  <c r="AC19" i="1"/>
  <c r="AC20" i="1"/>
  <c r="U21" i="1"/>
  <c r="U16" i="1"/>
  <c r="U19" i="1"/>
  <c r="U20" i="1"/>
  <c r="Y21" i="1"/>
  <c r="Y16" i="1"/>
  <c r="Y19" i="1"/>
  <c r="Y20" i="1"/>
  <c r="AD21" i="1"/>
  <c r="AD16" i="1"/>
  <c r="AD19" i="1"/>
  <c r="AD20" i="1"/>
  <c r="AE21" i="1"/>
  <c r="AE16" i="1"/>
  <c r="AE19" i="1"/>
  <c r="AE20" i="1"/>
  <c r="AF21" i="1"/>
  <c r="AF16" i="1"/>
  <c r="AF19" i="1"/>
  <c r="AF20" i="1"/>
  <c r="AM21" i="1"/>
  <c r="AM16" i="1"/>
  <c r="AM19" i="1"/>
  <c r="AM20" i="1"/>
  <c r="L7" i="1"/>
  <c r="M7" i="1"/>
  <c r="L12" i="1"/>
  <c r="M12" i="1"/>
  <c r="L5" i="1"/>
  <c r="M5" i="1"/>
  <c r="L14" i="1"/>
  <c r="M14" i="1"/>
  <c r="D19" i="1"/>
  <c r="C31" i="1"/>
  <c r="C30" i="1"/>
  <c r="H5" i="2"/>
  <c r="H6" i="2"/>
  <c r="H7" i="2"/>
  <c r="H8" i="2"/>
  <c r="H9" i="2"/>
  <c r="G5" i="2"/>
  <c r="G6" i="2"/>
  <c r="G7" i="2"/>
  <c r="G8" i="2"/>
  <c r="G9" i="2"/>
  <c r="E9" i="2"/>
  <c r="E8" i="2"/>
  <c r="E7" i="2"/>
  <c r="E6" i="2"/>
  <c r="E5" i="2"/>
  <c r="D13" i="1"/>
  <c r="D7" i="1"/>
  <c r="F7" i="1" s="1" a="1"/>
  <c r="F7" i="1" s="1"/>
  <c r="G7" i="1"/>
  <c r="D5" i="1"/>
  <c r="F5" i="1" s="1" a="1"/>
  <c r="F5" i="1" s="1"/>
  <c r="D10" i="1"/>
  <c r="F10" i="1" s="1" a="1"/>
  <c r="F10" i="1" s="1"/>
  <c r="D14" i="1"/>
  <c r="D18" i="1"/>
  <c r="D6" i="1"/>
  <c r="D17" i="1"/>
  <c r="D11" i="1"/>
  <c r="AF6" i="1"/>
  <c r="AF7" i="1"/>
  <c r="AF8" i="1"/>
  <c r="AF17" i="1"/>
  <c r="AF15" i="1"/>
  <c r="AF10" i="1"/>
  <c r="AE6" i="1"/>
  <c r="AE7" i="1"/>
  <c r="AE8" i="1"/>
  <c r="AE17" i="1"/>
  <c r="AE15" i="1"/>
  <c r="AE10" i="1"/>
  <c r="AD6" i="1"/>
  <c r="AD7" i="1"/>
  <c r="AD8" i="1"/>
  <c r="AD17" i="1"/>
  <c r="AD15" i="1"/>
  <c r="AD10" i="1"/>
  <c r="L16" i="1"/>
  <c r="L11" i="1"/>
  <c r="L13" i="1"/>
  <c r="L15" i="1"/>
  <c r="L8" i="1"/>
  <c r="L6" i="1"/>
  <c r="D9" i="1"/>
  <c r="D15" i="1"/>
  <c r="D16" i="1"/>
  <c r="D12" i="1"/>
  <c r="D8" i="1"/>
  <c r="D21" i="1"/>
  <c r="U6" i="1"/>
  <c r="U7" i="1"/>
  <c r="U8" i="1"/>
  <c r="U17" i="1"/>
  <c r="U15" i="1"/>
  <c r="U10" i="1"/>
  <c r="AM6" i="1"/>
  <c r="AM7" i="1"/>
  <c r="AM8" i="1"/>
  <c r="AM17" i="1"/>
  <c r="AM15" i="1"/>
  <c r="AM10" i="1"/>
  <c r="Y6" i="1"/>
  <c r="Y7" i="1"/>
  <c r="Y8" i="1"/>
  <c r="Y17" i="1"/>
  <c r="Y15" i="1"/>
  <c r="Y10" i="1"/>
  <c r="M16" i="1"/>
  <c r="M11" i="1"/>
  <c r="M13" i="1"/>
  <c r="M15" i="1"/>
  <c r="M8" i="1"/>
  <c r="M6" i="1"/>
  <c r="N17" i="1" l="1"/>
  <c r="O17" i="1"/>
  <c r="C32" i="1"/>
  <c r="Y24" i="1"/>
  <c r="G22" i="1"/>
  <c r="M18" i="1"/>
  <c r="C16" i="2"/>
  <c r="H10" i="2"/>
  <c r="J6" i="2" s="1"/>
  <c r="G10" i="2"/>
  <c r="I8" i="2" s="1"/>
  <c r="F13" i="1" a="1"/>
  <c r="F13" i="1" s="1"/>
  <c r="AA6" i="1" s="1"/>
  <c r="AG15" i="1"/>
  <c r="AG6" i="1"/>
  <c r="AG17" i="1"/>
  <c r="AG7" i="1"/>
  <c r="AG10" i="1"/>
  <c r="AG11" i="1"/>
  <c r="Z11" i="1" s="1"/>
  <c r="AG13" i="1"/>
  <c r="AG14" i="1"/>
  <c r="AG16" i="1"/>
  <c r="AG21" i="1"/>
  <c r="AG8" i="1"/>
  <c r="AG20" i="1"/>
  <c r="AG9" i="1"/>
  <c r="AG22" i="1"/>
  <c r="AG19" i="1"/>
  <c r="AG12" i="1"/>
  <c r="AG5" i="1"/>
  <c r="AG18" i="1"/>
  <c r="AH5" i="1" a="1"/>
  <c r="AH5" i="1" s="1"/>
  <c r="AL11" i="1"/>
  <c r="AJ10" i="1"/>
  <c r="AK10" i="1"/>
  <c r="AJ18" i="1"/>
  <c r="AK18" i="1"/>
  <c r="AJ16" i="1"/>
  <c r="AK16" i="1"/>
  <c r="AJ9" i="1"/>
  <c r="AK9" i="1"/>
  <c r="AJ7" i="1"/>
  <c r="AK7" i="1"/>
  <c r="AJ20" i="1"/>
  <c r="AK20" i="1"/>
  <c r="AJ6" i="1"/>
  <c r="AK6" i="1"/>
  <c r="AJ21" i="1"/>
  <c r="AK21" i="1"/>
  <c r="AJ14" i="1"/>
  <c r="AK14" i="1"/>
  <c r="AJ15" i="1"/>
  <c r="AK15" i="1"/>
  <c r="AJ8" i="1"/>
  <c r="AK8" i="1"/>
  <c r="AJ19" i="1"/>
  <c r="AK19" i="1"/>
  <c r="AJ13" i="1"/>
  <c r="AK13" i="1"/>
  <c r="AJ22" i="1"/>
  <c r="AK22" i="1"/>
  <c r="AJ17" i="1"/>
  <c r="AK17" i="1"/>
  <c r="AJ5" i="1"/>
  <c r="AK5" i="1"/>
  <c r="AJ12" i="1"/>
  <c r="AK12" i="1"/>
  <c r="AI18" i="1"/>
  <c r="AI6" i="1"/>
  <c r="AI9" i="1"/>
  <c r="AI19" i="1"/>
  <c r="AI22" i="1"/>
  <c r="AI14" i="1"/>
  <c r="AI20" i="1"/>
  <c r="AI16" i="1"/>
  <c r="AI21" i="1"/>
  <c r="AI5" i="1"/>
  <c r="AI10" i="1"/>
  <c r="AI15" i="1"/>
  <c r="AI7" i="1"/>
  <c r="AI13" i="1"/>
  <c r="AI12" i="1"/>
  <c r="AI17" i="1"/>
  <c r="AI8" i="1"/>
  <c r="AH8" i="1" a="1"/>
  <c r="AH8" i="1" s="1"/>
  <c r="F21" i="1" a="1"/>
  <c r="F21" i="1" s="1"/>
  <c r="F18" i="1" a="1"/>
  <c r="F18" i="1" s="1"/>
  <c r="F19" i="1" a="1"/>
  <c r="F19" i="1" s="1"/>
  <c r="F16" i="1" a="1"/>
  <c r="F16" i="1" s="1"/>
  <c r="F15" i="1" a="1"/>
  <c r="F15" i="1" s="1"/>
  <c r="F17" i="1" a="1"/>
  <c r="F17" i="1" s="1"/>
  <c r="F12" i="1" a="1"/>
  <c r="F12" i="1" s="1"/>
  <c r="F14" i="1" a="1"/>
  <c r="F14" i="1" s="1"/>
  <c r="F8" i="1" a="1"/>
  <c r="F8" i="1" s="1"/>
  <c r="AA7" i="1" s="1"/>
  <c r="F9" i="1" a="1"/>
  <c r="F9" i="1" s="1"/>
  <c r="F11" i="1" a="1"/>
  <c r="F11" i="1" s="1"/>
  <c r="AA10" i="1" s="1"/>
  <c r="F6" i="1" a="1"/>
  <c r="F6" i="1" s="1"/>
  <c r="AH18" i="1" a="1"/>
  <c r="AH18" i="1" s="1"/>
  <c r="AH12" i="1" a="1"/>
  <c r="AH12" i="1" s="1"/>
  <c r="AH22" i="1" a="1"/>
  <c r="AH22" i="1" s="1"/>
  <c r="AH13" i="1" a="1"/>
  <c r="AH13" i="1" s="1"/>
  <c r="C18" i="2"/>
  <c r="C17" i="2"/>
  <c r="AH17" i="1" a="1"/>
  <c r="AH17" i="1" s="1"/>
  <c r="AH14" i="1" a="1"/>
  <c r="AH14" i="1" s="1"/>
  <c r="AH15" i="1" a="1"/>
  <c r="AH15" i="1" s="1"/>
  <c r="AH6" i="1" a="1"/>
  <c r="AH6" i="1" s="1"/>
  <c r="AH16" i="1" a="1"/>
  <c r="AH16" i="1" s="1"/>
  <c r="AH21" i="1" a="1"/>
  <c r="AH21" i="1" s="1"/>
  <c r="AH20" i="1" a="1"/>
  <c r="AH20" i="1" s="1"/>
  <c r="AH10" i="1" a="1"/>
  <c r="AH10" i="1" s="1"/>
  <c r="AH7" i="1" a="1"/>
  <c r="AH7" i="1" s="1"/>
  <c r="AH9" i="1" a="1"/>
  <c r="AH9" i="1" s="1"/>
  <c r="AH19" i="1" a="1"/>
  <c r="AH19" i="1" s="1"/>
  <c r="P17" i="1" l="1" a="1"/>
  <c r="P17" i="1" s="1"/>
  <c r="F22" i="1"/>
  <c r="I5" i="2"/>
  <c r="J7" i="2"/>
  <c r="J9" i="2"/>
  <c r="I9" i="2"/>
  <c r="J5" i="2"/>
  <c r="I7" i="2"/>
  <c r="J8" i="2"/>
  <c r="I6" i="2"/>
  <c r="AA19" i="1"/>
  <c r="O14" i="1" s="1"/>
  <c r="AA11" i="1"/>
  <c r="AA17" i="1"/>
  <c r="AA21" i="1"/>
  <c r="AA5" i="1"/>
  <c r="AA8" i="1"/>
  <c r="AA18" i="1"/>
  <c r="AA20" i="1"/>
  <c r="AA12" i="1"/>
  <c r="AA22" i="1"/>
  <c r="AA9" i="1"/>
  <c r="AA14" i="1"/>
  <c r="N10" i="1" s="1"/>
  <c r="AA15" i="1"/>
  <c r="AA16" i="1"/>
  <c r="O12" i="1" s="1"/>
  <c r="AA13" i="1"/>
  <c r="Z5" i="1"/>
  <c r="Z8" i="1"/>
  <c r="AL6" i="1"/>
  <c r="AL21" i="1"/>
  <c r="AL7" i="1"/>
  <c r="AL5" i="1"/>
  <c r="AL22" i="1"/>
  <c r="AL13" i="1"/>
  <c r="AL16" i="1"/>
  <c r="AL14" i="1"/>
  <c r="AL9" i="1"/>
  <c r="AL18" i="1"/>
  <c r="AL20" i="1"/>
  <c r="AL19" i="1"/>
  <c r="AL10" i="1"/>
  <c r="AL8" i="1"/>
  <c r="AL17" i="1"/>
  <c r="AL15" i="1"/>
  <c r="AL12" i="1"/>
  <c r="Z17" i="1"/>
  <c r="Z15" i="1"/>
  <c r="Z22" i="1"/>
  <c r="Z18" i="1"/>
  <c r="Z12" i="1"/>
  <c r="Z13" i="1"/>
  <c r="Z7" i="1"/>
  <c r="Z6" i="1"/>
  <c r="Z14" i="1"/>
  <c r="Z19" i="1"/>
  <c r="Z9" i="1"/>
  <c r="Z16" i="1"/>
  <c r="Z20" i="1"/>
  <c r="Z21" i="1"/>
  <c r="Z10" i="1"/>
  <c r="N8" i="1"/>
  <c r="O8" i="1"/>
  <c r="AN23" i="1" l="1"/>
  <c r="AO23" i="1" s="1" a="1"/>
  <c r="AO23" i="1" s="1"/>
  <c r="Q17" i="1"/>
  <c r="AB23" i="1" a="1"/>
  <c r="AB23" i="1" s="1"/>
  <c r="O13" i="1"/>
  <c r="N14" i="1"/>
  <c r="AA24" i="1"/>
  <c r="N16" i="1"/>
  <c r="N12" i="1"/>
  <c r="P12" i="1" s="1" a="1"/>
  <c r="P12" i="1" s="1"/>
  <c r="O9" i="1"/>
  <c r="O16" i="1"/>
  <c r="P14" i="1" a="1"/>
  <c r="P14" i="1" s="1"/>
  <c r="AN11" i="1"/>
  <c r="AO11" i="1" s="1" a="1"/>
  <c r="AO11" i="1" s="1"/>
  <c r="N13" i="1"/>
  <c r="N9" i="1"/>
  <c r="AN22" i="1"/>
  <c r="AO22" i="1" s="1" a="1"/>
  <c r="AO22" i="1" s="1"/>
  <c r="AN5" i="1"/>
  <c r="AO5" i="1" s="1" a="1"/>
  <c r="AO5" i="1" s="1"/>
  <c r="AN15" i="1"/>
  <c r="AO15" i="1" s="1" a="1"/>
  <c r="AO15" i="1" s="1"/>
  <c r="AN16" i="1"/>
  <c r="AO16" i="1" s="1" a="1"/>
  <c r="AO16" i="1" s="1"/>
  <c r="AN12" i="1"/>
  <c r="AO12" i="1" s="1" a="1"/>
  <c r="AO12" i="1" s="1"/>
  <c r="AN14" i="1"/>
  <c r="AO14" i="1" s="1" a="1"/>
  <c r="AO14" i="1" s="1"/>
  <c r="AN10" i="1"/>
  <c r="AO10" i="1" s="1" a="1"/>
  <c r="AO10" i="1" s="1"/>
  <c r="AN21" i="1"/>
  <c r="AO21" i="1" s="1" a="1"/>
  <c r="AO21" i="1" s="1"/>
  <c r="AN17" i="1"/>
  <c r="AO17" i="1" s="1" a="1"/>
  <c r="AO17" i="1" s="1"/>
  <c r="AN13" i="1"/>
  <c r="AO13" i="1" s="1" a="1"/>
  <c r="AO13" i="1" s="1"/>
  <c r="AN6" i="1"/>
  <c r="AO6" i="1" s="1" a="1"/>
  <c r="AO6" i="1" s="1"/>
  <c r="AN8" i="1"/>
  <c r="AO8" i="1" s="1" a="1"/>
  <c r="AO8" i="1" s="1"/>
  <c r="AN19" i="1"/>
  <c r="AO19" i="1" s="1" a="1"/>
  <c r="AO19" i="1" s="1"/>
  <c r="AN9" i="1"/>
  <c r="AO9" i="1" s="1" a="1"/>
  <c r="AO9" i="1" s="1"/>
  <c r="O10" i="1"/>
  <c r="P10" i="1" s="1" a="1"/>
  <c r="P10" i="1" s="1"/>
  <c r="P8" i="1" a="1"/>
  <c r="P8" i="1" s="1"/>
  <c r="N5" i="1"/>
  <c r="O5" i="1"/>
  <c r="O15" i="1"/>
  <c r="N7" i="1"/>
  <c r="O7" i="1"/>
  <c r="N6" i="1"/>
  <c r="O6" i="1"/>
  <c r="N11" i="1"/>
  <c r="O11" i="1"/>
  <c r="N15" i="1"/>
  <c r="P13" i="1" l="1" a="1"/>
  <c r="P13" i="1" s="1"/>
  <c r="Q13" i="1" s="1"/>
  <c r="AB17" i="1" a="1"/>
  <c r="AB17" i="1" s="1"/>
  <c r="Q14" i="1"/>
  <c r="AB19" i="1" a="1"/>
  <c r="AB19" i="1" s="1"/>
  <c r="Q8" i="1"/>
  <c r="AB10" i="1" a="1"/>
  <c r="AB10" i="1" s="1"/>
  <c r="Q10" i="1"/>
  <c r="AB14" i="1" a="1"/>
  <c r="AB14" i="1" s="1"/>
  <c r="Q12" i="1"/>
  <c r="AB16" i="1" a="1"/>
  <c r="AB16" i="1" s="1"/>
  <c r="P16" i="1" a="1"/>
  <c r="P16" i="1" s="1"/>
  <c r="P9" i="1" a="1"/>
  <c r="P9" i="1" s="1"/>
  <c r="AN18" i="1"/>
  <c r="AO18" i="1" s="1" a="1"/>
  <c r="AO18" i="1" s="1"/>
  <c r="AN20" i="1"/>
  <c r="AO20" i="1" s="1" a="1"/>
  <c r="AO20" i="1" s="1"/>
  <c r="AN7" i="1"/>
  <c r="AO7" i="1" s="1" a="1"/>
  <c r="AO7" i="1" s="1"/>
  <c r="P7" i="1" a="1"/>
  <c r="P7" i="1" s="1"/>
  <c r="P6" i="1" a="1"/>
  <c r="P6" i="1" s="1"/>
  <c r="P5" i="1" a="1"/>
  <c r="P5" i="1" s="1"/>
  <c r="P11" i="1" a="1"/>
  <c r="P11" i="1" s="1"/>
  <c r="P15" i="1" a="1"/>
  <c r="P15" i="1" s="1"/>
  <c r="AB18" i="1" l="1" a="1"/>
  <c r="AB18" i="1" s="1"/>
  <c r="P18" i="1"/>
  <c r="Q11" i="1"/>
  <c r="AB15" i="1" a="1"/>
  <c r="AB15" i="1" s="1"/>
  <c r="Q5" i="1"/>
  <c r="AB5" i="1" a="1"/>
  <c r="AB5" i="1" s="1"/>
  <c r="AB6" i="1" a="1"/>
  <c r="AB6" i="1" s="1"/>
  <c r="Q6" i="1"/>
  <c r="AB7" i="1" a="1"/>
  <c r="AB7" i="1" s="1"/>
  <c r="Q7" i="1"/>
  <c r="AB8" i="1" a="1"/>
  <c r="AB8" i="1" s="1"/>
  <c r="AB9" i="1" a="1"/>
  <c r="AB9" i="1" s="1"/>
  <c r="AB11" i="1" a="1"/>
  <c r="AB11" i="1" s="1"/>
  <c r="AB13" i="1" a="1"/>
  <c r="AB13" i="1" s="1"/>
  <c r="AB12" i="1" a="1"/>
  <c r="AB12" i="1" s="1"/>
  <c r="AB22" i="1" a="1"/>
  <c r="AB22" i="1" s="1"/>
  <c r="AB21" i="1" a="1"/>
  <c r="AB21" i="1" s="1"/>
  <c r="Q15" i="1"/>
  <c r="AB20" i="1" a="1"/>
  <c r="AB20" i="1" s="1"/>
  <c r="Q9" i="1"/>
  <c r="Q16" i="1"/>
  <c r="C34" i="1"/>
  <c r="C35" i="1" s="1"/>
  <c r="AB24" i="1" l="1"/>
  <c r="Q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Douglas Gregory</author>
  </authors>
  <commentList>
    <comment ref="E4" authorId="0" shapeId="0" xr:uid="{1246A4A3-6735-46A2-8F17-B811D2C8D26B}">
      <text>
        <r>
          <rPr>
            <b/>
            <sz val="9"/>
            <color indexed="81"/>
            <rFont val="Tahoma"/>
            <family val="2"/>
          </rPr>
          <t>Douglas Gregory:</t>
        </r>
        <r>
          <rPr>
            <sz val="9"/>
            <color indexed="81"/>
            <rFont val="Tahoma"/>
            <family val="2"/>
          </rPr>
          <t xml:space="preserve">
How expensive should this be relative to the cheapest item at this rarity (0%) and most expensive (100%)?</t>
        </r>
      </text>
    </comment>
    <comment ref="F4" authorId="0" shapeId="0" xr:uid="{079995A2-456A-4407-8EED-A7B73347BBD6}">
      <text>
        <r>
          <rPr>
            <b/>
            <sz val="9"/>
            <color indexed="81"/>
            <rFont val="Tahoma"/>
            <family val="2"/>
          </rPr>
          <t>Douglas Gregory:</t>
        </r>
        <r>
          <rPr>
            <sz val="9"/>
            <color indexed="81"/>
            <rFont val="Tahoma"/>
            <family val="2"/>
          </rPr>
          <t xml:space="preserve">
Costs are auto-calculated from a price range for each rarity: that way we can tune the costs of hundreds of ingredients by changing &lt;= 10 numbers.</t>
        </r>
      </text>
    </comment>
    <comment ref="G4" authorId="0" shapeId="0" xr:uid="{F4BF812D-6630-4E4A-B1F6-38F737613AF8}">
      <text>
        <r>
          <rPr>
            <b/>
            <sz val="9"/>
            <color indexed="81"/>
            <rFont val="Tahoma"/>
            <family val="2"/>
          </rPr>
          <t>Douglas Gregory:</t>
        </r>
        <r>
          <rPr>
            <sz val="9"/>
            <color indexed="81"/>
            <rFont val="Tahoma"/>
            <family val="2"/>
          </rPr>
          <t xml:space="preserve">
How many recipes use this ingredient?</t>
        </r>
      </text>
    </comment>
    <comment ref="U4" authorId="0" shapeId="0" xr:uid="{4C91ED5E-E81B-4885-954A-A2A958397282}">
      <text>
        <r>
          <rPr>
            <b/>
            <sz val="9"/>
            <color indexed="81"/>
            <rFont val="Tahoma"/>
            <charset val="1"/>
          </rPr>
          <t>Douglas Gregory:</t>
        </r>
        <r>
          <rPr>
            <sz val="9"/>
            <color indexed="81"/>
            <rFont val="Tahoma"/>
            <charset val="1"/>
          </rPr>
          <t xml:space="preserve">
Auto-numbering of recipe versions when there's more than one way to make a potion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<sst xmlns="http://schemas.openxmlformats.org/spreadsheetml/2006/main" count="205" uniqueCount="97">
  <si>
    <t>Frog's Breath</t>
  </si>
  <si>
    <t>Frostweed</t>
  </si>
  <si>
    <t>Rarity</t>
  </si>
  <si>
    <t>Mandrake</t>
  </si>
  <si>
    <t>Dizzyberry</t>
  </si>
  <si>
    <t>Morning Dew</t>
  </si>
  <si>
    <t>Common</t>
  </si>
  <si>
    <t>Uncommon</t>
  </si>
  <si>
    <t>Rare</t>
  </si>
  <si>
    <t>Dragon's Egg</t>
  </si>
  <si>
    <t>Epic</t>
  </si>
  <si>
    <t>Potion</t>
  </si>
  <si>
    <t>Recipes</t>
  </si>
  <si>
    <t>Cheapest</t>
  </si>
  <si>
    <t>Most Expensive</t>
  </si>
  <si>
    <t>Ingredients</t>
  </si>
  <si>
    <t>Total Cost</t>
  </si>
  <si>
    <t>Lucky Libation</t>
  </si>
  <si>
    <t>Frosty Fizz</t>
  </si>
  <si>
    <t>Electric Elixir</t>
  </si>
  <si>
    <t>Name</t>
  </si>
  <si>
    <t>Potions</t>
  </si>
  <si>
    <t>Cost</t>
  </si>
  <si>
    <t>Combined</t>
  </si>
  <si>
    <t>Row</t>
  </si>
  <si>
    <t>Matching Row</t>
  </si>
  <si>
    <t>Same As?</t>
  </si>
  <si>
    <t>Item 1</t>
  </si>
  <si>
    <t>Item 2</t>
  </si>
  <si>
    <t>Item 3</t>
  </si>
  <si>
    <t>Uses</t>
  </si>
  <si>
    <t>Woozypop</t>
  </si>
  <si>
    <t>Max Profit</t>
  </si>
  <si>
    <t>Rarities</t>
  </si>
  <si>
    <t>Profit Multiplier</t>
  </si>
  <si>
    <t>Legendary</t>
  </si>
  <si>
    <t>Cost Grade</t>
  </si>
  <si>
    <t>Cost Range</t>
  </si>
  <si>
    <t>Rarity Index</t>
  </si>
  <si>
    <t>Ingredient Cost Range</t>
  </si>
  <si>
    <t>Index 1</t>
  </si>
  <si>
    <t>Index 2</t>
  </si>
  <si>
    <t>Index 3</t>
  </si>
  <si>
    <t>Max Rarity Index</t>
  </si>
  <si>
    <t>#</t>
  </si>
  <si>
    <t>Ingredients…</t>
  </si>
  <si>
    <t>Possible Combinations</t>
  </si>
  <si>
    <t>Tangleroot</t>
  </si>
  <si>
    <t>Emerald Dust</t>
  </si>
  <si>
    <t>Noxious Slime</t>
  </si>
  <si>
    <t>Magicite</t>
  </si>
  <si>
    <t>Indigocap</t>
  </si>
  <si>
    <t>Vitafruit</t>
  </si>
  <si>
    <t>Monster Blood</t>
  </si>
  <si>
    <t>Crawler Grub</t>
  </si>
  <si>
    <t>Amber</t>
  </si>
  <si>
    <t>Healing Salve</t>
  </si>
  <si>
    <t>Ingredient Count</t>
  </si>
  <si>
    <t>…of 2</t>
  </si>
  <si>
    <t>…of 3</t>
  </si>
  <si>
    <t>…total</t>
  </si>
  <si>
    <t>Petals of Light</t>
  </si>
  <si>
    <t>Antidote</t>
  </si>
  <si>
    <t>Repulsive Perfume</t>
  </si>
  <si>
    <t>Adhesive Ichor</t>
  </si>
  <si>
    <t>Red Eye Shot</t>
  </si>
  <si>
    <t>Astral Oyster</t>
  </si>
  <si>
    <t>Potion Rarity Index</t>
  </si>
  <si>
    <t>Potion Index</t>
  </si>
  <si>
    <t>Rarity Check</t>
  </si>
  <si>
    <t>Drowsy Draught</t>
  </si>
  <si>
    <t>Curative Cream</t>
  </si>
  <si>
    <t>Chance to find:</t>
  </si>
  <si>
    <t>Valid Recipes:</t>
  </si>
  <si>
    <t>2-Ingredient</t>
  </si>
  <si>
    <t>3-Ingredient</t>
  </si>
  <si>
    <t>Profit Margin</t>
  </si>
  <si>
    <t>Ordinal 1</t>
  </si>
  <si>
    <t>Ordinal 2</t>
  </si>
  <si>
    <t>Ordinal 3</t>
  </si>
  <si>
    <t>Old Excel lacks the SORT function, so we're doing this the hard way. 😭</t>
  </si>
  <si>
    <t>Find sorted index of each name, then concatenate</t>
  </si>
  <si>
    <t>Cost of Recipes</t>
  </si>
  <si>
    <t>Ingredient Indices</t>
  </si>
  <si>
    <t>Ingredients %</t>
  </si>
  <si>
    <t>Potions %</t>
  </si>
  <si>
    <t>Total</t>
  </si>
  <si>
    <t>1-Ingredient</t>
  </si>
  <si>
    <t>(Sale Price)</t>
  </si>
  <si>
    <t>(Purchase)</t>
  </si>
  <si>
    <t>…of 1</t>
  </si>
  <si>
    <t>Averages</t>
  </si>
  <si>
    <t>Potion Count</t>
  </si>
  <si>
    <t>Recipe Count</t>
  </si>
  <si>
    <t>Make canonical ordering to check for duplicates</t>
  </si>
  <si>
    <t>Testo</t>
  </si>
  <si>
    <t>Invuln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</si>
</sst>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2" fillId="0" borderId="0" xfId="0" applyFont="1"/>
    <xf numFmtId="9" fontId="0" fillId="0" borderId="1" xfId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vertical="top" wrapText="1"/>
    </xf>
    <xf numFmtId="0" fontId="0" fillId="0" borderId="2" xfId="0" applyBorder="1"/>
    <xf numFmtId="9" fontId="0" fillId="0" borderId="2" xfId="1" applyFont="1" applyBorder="1"/>
    <xf numFmtId="0" fontId="0" fillId="0" borderId="3" xfId="0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4" fontId="0" fillId="0" borderId="0" xfId="1" applyNumberFormat="1" applyFont="1"/>
    <xf numFmtId="0" fontId="3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/>
    </xf>
    <xf numFmtId="0" fontId="0" fillId="0" borderId="1" xfId="0" applyBorder="1" applyAlignment="1">
      <alignment horizontal="left"/>
    </xf>
    <xf numFmtId="0" fontId="5" fillId="3" borderId="4" xfId="0" applyFont="1" applyFill="1" applyBorder="1" applyAlignment="1">
      <alignment vertical="top"/>
    </xf>
    <xf numFmtId="0" fontId="5" fillId="2" borderId="0" xfId="0" applyFont="1" applyFill="1"/>
    <xf numFmtId="0" fontId="5" fillId="3" borderId="0" xfId="0" applyFont="1" applyFill="1"/>
    <xf numFmtId="9" fontId="0" fillId="0" borderId="0" xfId="1" applyFont="1"/>
    <xf numFmtId="0" fontId="0" fillId="0" borderId="5" xfId="0" applyBorder="1"/>
    <xf numFmtId="9" fontId="0" fillId="0" borderId="0" xfId="0" applyNumberFormat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/>
    </xf>
    <xf numFmtId="9" fontId="0" fillId="0" borderId="5" xfId="0" applyNumberFormat="1" applyBorder="1"/>
    <xf numFmtId="165" fontId="0" fillId="0" borderId="0" xfId="0" applyNumberFormat="1"/>
    <xf numFmtId="2" fontId="0" fillId="0" borderId="7" xfId="0" applyNumberFormat="1" applyBorder="1"/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9" fontId="10" fillId="0" borderId="3" xfId="1" applyFont="1" applyBorder="1"/>
    <xf numFmtId="9" fontId="10" fillId="0" borderId="1" xfId="1" applyFont="1" applyBorder="1"/>
    <xf numFmtId="9" fontId="10" fillId="0" borderId="2" xfId="1" applyFont="1" applyBorder="1"/>
    <xf numFmtId="0" fontId="10" fillId="0" borderId="0" xfId="0" applyFont="1"/>
    <xf numFmtId="0" fontId="0" fillId="0" borderId="0" xfId="0" applyNumberFormat="1"/>
    <xf numFmtId="0" fontId="0" fillId="0" borderId="6" xfId="0" applyNumberFormat="1" applyBorder="1" applyAlignment="1">
      <alignment horizontal="center"/>
    </xf>
    <xf numFmtId="0" fontId="0" fillId="0" borderId="7" xfId="0" applyNumberFormat="1" applyBorder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129">
    <dxf>
      <numFmt numFmtId="13" formatCode="0%"/>
    </dxf>
    <dxf>
      <numFmt numFmtId="165" formatCode="0.0"/>
    </dxf>
    <dxf>
      <numFmt numFmtId="2" formatCode="0.00"/>
      <border diagonalUp="0" diagonalDown="0" outline="0">
        <left style="thin">
          <color indexed="64"/>
        </left>
        <right/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theme="2" tint="-0.24994659260841701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numFmt numFmtId="13" formatCode="0%"/>
    </dxf>
    <dxf>
      <numFmt numFmtId="165" formatCode="0.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7030A0"/>
      </font>
    </dxf>
    <dxf>
      <font>
        <b/>
        <i val="0"/>
        <color theme="5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  <border outline="0">
        <left style="thin">
          <color indexed="64"/>
        </left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indent="0" justifyLastLine="0" shrinkToFit="0" readingOrder="0"/>
      <border outline="0">
        <right style="thin">
          <color indexed="64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</dxf>
    <dxf>
      <numFmt numFmtId="165" formatCode="0.0"/>
    </dxf>
    <dxf>
      <numFmt numFmtId="13" formatCode="0%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Recipe Type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43-445E-87F2-9309B1D4F7E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43-445E-87F2-9309B1D4F7ED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03-4C9F-91E4-ADE2C42102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Categories!$B$16:$B$18</c:f>
              <c:strCache>
                <c:ptCount val="3"/>
                <c:pt idx="0">
                  <c:v>1-Ingredient</c:v>
                </c:pt>
                <c:pt idx="1">
                  <c:v>2-Ingredient</c:v>
                </c:pt>
                <c:pt idx="2">
                  <c:v>3-Ingredient</c:v>
                </c:pt>
              </c:strCache>
            </c:strRef>
          </c:cat>
          <c:val>
            <c:numRef>
              <c:f>Categories!$C$16:$C$18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43-445E-87F2-9309B1D4F7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Rarity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Categories!$B$5</c:f>
              <c:strCache>
                <c:ptCount val="1"/>
                <c:pt idx="0">
                  <c:v>Common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5F3A33D-FE2A-4A6F-BEAB-167A1F59D1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FAD22D8-B0C2-4CE6-A9F2-A008D03E1B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Categories!$G$5:$I$5</c15:sqref>
                  </c15:fullRef>
                </c:ext>
              </c:extLst>
              <c:f>Categories!$G$5:$H$5</c:f>
              <c:numCache>
                <c:formatCode>General</c:formatCode>
                <c:ptCount val="2"/>
                <c:pt idx="0">
                  <c:v>7</c:v>
                </c:pt>
                <c:pt idx="1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(Categories!$I$5,Categories!$J$5)</c15:f>
                <c15:dlblRangeCache>
                  <c:ptCount val="2"/>
                  <c:pt idx="0">
                    <c:v>41%</c:v>
                  </c:pt>
                  <c:pt idx="1">
                    <c:v>31%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C8C9-4ABD-BA50-1F198D238315}"/>
            </c:ext>
          </c:extLst>
        </c:ser>
        <c:ser>
          <c:idx val="1"/>
          <c:order val="1"/>
          <c:tx>
            <c:strRef>
              <c:f>Categories!$B$6</c:f>
              <c:strCache>
                <c:ptCount val="1"/>
                <c:pt idx="0">
                  <c:v>Uncommon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7177A79-6197-48D3-8358-E4E42D2099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A70DB49-98DF-4E37-9F11-8DDE6ABD04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Categories!$G$6:$I$6</c15:sqref>
                  </c15:fullRef>
                </c:ext>
              </c:extLst>
              <c:f>Categories!$G$6:$H$6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Categories!$I$6:$J$6</c15:f>
                <c15:dlblRangeCache>
                  <c:ptCount val="2"/>
                  <c:pt idx="0">
                    <c:v>18%</c:v>
                  </c:pt>
                  <c:pt idx="1">
                    <c:v>31%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C8C9-4ABD-BA50-1F198D238315}"/>
            </c:ext>
          </c:extLst>
        </c:ser>
        <c:ser>
          <c:idx val="2"/>
          <c:order val="2"/>
          <c:tx>
            <c:strRef>
              <c:f>Categories!$B$7</c:f>
              <c:strCache>
                <c:ptCount val="1"/>
                <c:pt idx="0">
                  <c:v>Rare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11D056A-8914-4FEA-ABD6-777BF68045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1702F0-F03D-40B0-8017-440E2FBBC8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Categories!$G$7:$I$7</c15:sqref>
                  </c15:fullRef>
                </c:ext>
              </c:extLst>
              <c:f>Categories!$G$7:$H$7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Categories!$I$7:$J$7</c15:f>
                <c15:dlblRangeCache>
                  <c:ptCount val="2"/>
                  <c:pt idx="0">
                    <c:v>18%</c:v>
                  </c:pt>
                  <c:pt idx="1">
                    <c:v>23%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C8C9-4ABD-BA50-1F198D238315}"/>
            </c:ext>
          </c:extLst>
        </c:ser>
        <c:ser>
          <c:idx val="3"/>
          <c:order val="3"/>
          <c:tx>
            <c:strRef>
              <c:f>Categories!$B$8</c:f>
              <c:strCache>
                <c:ptCount val="1"/>
                <c:pt idx="0">
                  <c:v>Epic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91D639E-D403-4059-805C-EFAC8E3ADC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BFF5E4-FEB9-49F4-8A3B-CD5A9AF024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Categories!$G$8:$I$8</c15:sqref>
                  </c15:fullRef>
                </c:ext>
              </c:extLst>
              <c:f>Categories!$G$8:$H$8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Categories!$I$8:$J$8</c15:f>
                <c15:dlblRangeCache>
                  <c:ptCount val="2"/>
                  <c:pt idx="0">
                    <c:v>12%</c:v>
                  </c:pt>
                  <c:pt idx="1">
                    <c:v>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C8C9-4ABD-BA50-1F198D238315}"/>
            </c:ext>
          </c:extLst>
        </c:ser>
        <c:ser>
          <c:idx val="4"/>
          <c:order val="4"/>
          <c:tx>
            <c:strRef>
              <c:f>Categories!$B$9</c:f>
              <c:strCache>
                <c:ptCount val="1"/>
                <c:pt idx="0">
                  <c:v>Legendary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77FAEEF-1C9A-4959-97C4-0B335D425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8C9-4ABD-BA50-1F198D2383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FF5753-290D-4182-A93B-1555DE1142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8C9-4ABD-BA50-1F198D238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Categories!$G$4:$I$4</c15:sqref>
                  </c15:fullRef>
                </c:ext>
              </c:extLst>
              <c:f>Categories!$G$4:$H$4</c:f>
              <c:strCache>
                <c:ptCount val="2"/>
                <c:pt idx="0">
                  <c:v>Ingredients</c:v>
                </c:pt>
                <c:pt idx="1">
                  <c:v>Potions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Categories!$G$9:$I$9</c15:sqref>
                  </c15:fullRef>
                </c:ext>
              </c:extLst>
              <c:f>Categories!$G$9:$H$9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Categories!$I$9:$J$9</c15:f>
                <c15:dlblRangeCache>
                  <c:ptCount val="2"/>
                  <c:pt idx="0">
                    <c:v>12%</c:v>
                  </c:pt>
                  <c:pt idx="1">
                    <c:v>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C8C9-4ABD-BA50-1F198D23831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69"/>
        <c:overlap val="100"/>
        <c:axId val="787879871"/>
        <c:axId val="787873151"/>
      </c:barChart>
      <c:catAx>
        <c:axId val="78787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73151"/>
        <c:crosses val="autoZero"/>
        <c:auto val="1"/>
        <c:lblAlgn val="ctr"/>
        <c:lblOffset val="100"/>
        <c:noMultiLvlLbl val="0"/>
      </c:catAx>
      <c:valAx>
        <c:axId val="78787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7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69966</xdr:colOff>
      <xdr:row>26</xdr:row>
      <xdr:rowOff>12256</xdr:rowOff>
    </xdr:from>
    <xdr:to>
      <xdr:col>9</xdr:col>
      <xdr:colOff>21772</xdr:colOff>
      <xdr:row>38</xdr:row>
      <xdr:rowOff>7044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CC324F-11EB-4A75-9B0D-D1F5E434C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71077</xdr:colOff>
      <xdr:row>26</xdr:row>
      <xdr:rowOff>9605</xdr:rowOff>
    </xdr:from>
    <xdr:to>
      <xdr:col>22</xdr:col>
      <xdr:colOff>718458</xdr:colOff>
      <xdr:row>38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4DC79A-ECAA-4890-BDD5-3023AEF18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51C22-04D1-41E8-BECA-981B67516634}" name="Ingredients" displayName="Ingredients" ref="B4:G22" totalsRowCount="1" headerRowDxfId="128">
  <autoFilter ref="B4:G21" xr:uid="{73951C22-04D1-41E8-BECA-981B67516634}"/>
  <sortState xmlns:xlrd2="http://schemas.microsoft.com/office/spreadsheetml/2017/richdata2" ref="B5:G21">
    <sortCondition ref="F4:F21"/>
  </sortState>
  <tableColumns count="6">
    <tableColumn id="1" xr3:uid="{D69EB11C-10F0-4524-8369-AD97563981B3}" name="Name" totalsRowFunction="count" dataDxfId="127" totalsRowDxfId="126"/>
    <tableColumn id="2" xr3:uid="{F04C1EA5-949E-438D-84A4-56F605CD6069}" name="Rarity" dataDxfId="125" totalsRowDxfId="124"/>
    <tableColumn id="6" xr3:uid="{32B1FDAB-5698-4E97-B9E0-92BB3CB850BE}" name="Rarity Index" dataDxfId="123">
      <calculatedColumnFormula>MATCH(Ingredients[[#This Row],[Rarity]],Rarities[Name], 0)</calculatedColumnFormula>
    </tableColumn>
    <tableColumn id="5" xr3:uid="{F70F9771-BA82-48E7-A0B4-2E7FD8BD939A}" name="Cost Grade" totalsRowFunction="average" dataDxfId="122" totalsRowDxfId="121" dataCellStyle="Percent"/>
    <tableColumn id="3" xr3:uid="{CE93CA9C-377D-481B-89BC-E83E06A5F76F}" name="Cost" totalsRowFunction="average" totalsRowDxfId="120">
      <calculatedColumnFormula array="1">MROUND(INDEX(Rarities[Cheapest], Ingredients[[#This Row],[Rarity Index]])+Ingredients[[#This Row],[Cost Grade]]*INDEX(Rarities[Cost Range],Ingredients[[#This Row],[Rarity Index]]), 5)</calculatedColumnFormula>
    </tableColumn>
    <tableColumn id="4" xr3:uid="{7A346AFE-7DF4-4F3C-BFAB-4A1D852F21D8}" name="Uses" totalsRowFunction="average" dataDxfId="119">
      <calculatedColumnFormula>COUNTIF(Recipes[[Item 1]:[Item 3]],Ingredients[[#This Row],[Name]])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847D9-3FAF-498C-A475-EE898461A72D}" name="Potions" displayName="Potions" ref="J4:Q18" totalsRowCount="1" headerRowDxfId="118">
  <autoFilter ref="J4:Q17" xr:uid="{451847D9-3FAF-498C-A475-EE898461A72D}"/>
  <sortState xmlns:xlrd2="http://schemas.microsoft.com/office/spreadsheetml/2017/richdata2" ref="J5:Q16">
    <sortCondition ref="L4:L16"/>
  </sortState>
  <tableColumns count="8">
    <tableColumn id="1" xr3:uid="{2B2A53FB-B655-4CBE-B516-78176C7391D5}" name="Name" totalsRowFunction="count" dataDxfId="85" totalsRowDxfId="71"/>
    <tableColumn id="2" xr3:uid="{EAE6CBAD-879C-49FC-BD08-BCB8227CE83D}" name="Rarity" dataDxfId="84" totalsRowDxfId="70"/>
    <tableColumn id="8" xr3:uid="{79D65A82-0286-4B56-85F8-E7611A76C993}" name="Rarity Index" dataDxfId="83">
      <calculatedColumnFormula>MATCH(Potions[[#This Row],[Rarity]],Rarities[Name], 0)</calculatedColumnFormula>
    </tableColumn>
    <tableColumn id="4" xr3:uid="{EE30977B-BB29-4164-BD7E-1CDDA33031C0}" name="Recipes" totalsRowFunction="average" dataDxfId="82">
      <calculatedColumnFormula>COUNTIF(Recipes[Potion], Potions[[#This Row],[Name]])</calculatedColumnFormula>
    </tableColumn>
    <tableColumn id="5" xr3:uid="{4169F023-5CA2-40C0-BB06-AA73323D13E6}" name="Cheapest" dataDxfId="81">
      <calculatedColumnFormula>_xlfn.MINIFS(Recipes[Total Cost],Recipes[Potion],Potions[[#This Row],[Name]])</calculatedColumnFormula>
    </tableColumn>
    <tableColumn id="6" xr3:uid="{DA1F0160-A391-4E61-90DD-2110EF41C4D0}" name="Most Expensive" dataDxfId="80">
      <calculatedColumnFormula>_xlfn.MAXIFS(Recipes[Total Cost],Recipes[Potion],Potions[[#This Row],[Name]])</calculatedColumnFormula>
    </tableColumn>
    <tableColumn id="3" xr3:uid="{76C8EFE5-F148-4DE6-A508-FFF36FDD5749}" name="Cost" totalsRowFunction="average" dataDxfId="79" totalsRowDxfId="69">
      <calculatedColumnFormula array="1">MROUND(AVERAGE(Potions[[#This Row],[Cheapest]:[Most Expensive]])*INDEX(Rarities[Profit Multiplier], Potions[[#This Row],[Rarity Index]]), 5)</calculatedColumnFormula>
    </tableColumn>
    <tableColumn id="7" xr3:uid="{40E105CF-35FD-4E3D-8667-54BE968CCB01}" name="Max Profit" totalsRowFunction="average" totalsRowDxfId="68" dataCellStyle="Percent">
      <calculatedColumnFormula>(Potions[[#This Row],[Cost]]-Potions[[#This Row],[Cheapest]])/Potions[[#This Row],[Cheapest]]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45A49B-8991-4944-952E-4192E28D1702}" name="Recipes" displayName="Recipes" ref="T4:AO24" totalsRowCount="1" headerRowDxfId="117">
  <autoFilter ref="T4:AO23" xr:uid="{B745A49B-8991-4944-952E-4192E28D1702}"/>
  <tableColumns count="22">
    <tableColumn id="1" xr3:uid="{ADBE2194-B1A5-49EB-B227-4EC79F0CF118}" name="Potion" totalsRowFunction="count" dataDxfId="116" totalsRowDxfId="7"/>
    <tableColumn id="11" xr3:uid="{9A07B4E8-0752-4810-998D-1864FDA4D0C5}" name="#" dataDxfId="115" totalsRowDxfId="6">
      <calculatedColumnFormula>COUNTIF(Recipes[[#Headers],[Potion]]:Recipes[[#This Row],[Potion]], Recipes[[#This Row],[Potion]])</calculatedColumnFormula>
    </tableColumn>
    <tableColumn id="3" xr3:uid="{58F881A5-D38C-420E-B3A9-F5DAFC9B3CDC}" name="Item 1" dataDxfId="114" totalsRowDxfId="5"/>
    <tableColumn id="4" xr3:uid="{5FB74E9E-9005-4A40-AF7E-889C67842659}" name="Item 2" dataDxfId="113" totalsRowDxfId="4"/>
    <tableColumn id="5" xr3:uid="{47D3F14D-A761-4369-9ECE-DDDCCF2A4B7B}" name="Item 3" dataDxfId="112" totalsRowDxfId="3"/>
    <tableColumn id="2" xr3:uid="{21CC00C6-3FDC-47A8-9211-D302CFB2710B}" name="Ingredient Count" totalsRowFunction="average" dataDxfId="111" totalsRowDxfId="2">
      <calculatedColumnFormula>COUNTA(Recipes[[#This Row],[Item 1]:[Item 3]])</calculatedColumnFormula>
    </tableColumn>
    <tableColumn id="15" xr3:uid="{4554F1DA-A49A-4F6B-8332-A9C328847268}" name="Rarity Check" dataDxfId="110">
      <calculatedColumnFormula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calculatedColumnFormula>
    </tableColumn>
    <tableColumn id="6" xr3:uid="{2751418B-BA6A-484A-9D96-6FE9B180B38F}" name="Total Cost" totalsRowFunction="average" dataDxfId="109" totalsRowDxfId="1">
      <calculatedColumnFormula>SUM(IFERROR(INDEX(Ingredients[Cost], Recipes[[#This Row],[Index 1]]), 0), IFERROR(INDEX(Ingredients[Cost], Recipes[[#This Row],[Index 2]]), 0), IFERROR(INDEX(Ingredients[Cost], Recipes[[#This Row],[Index 3]]), 0))</calculatedColumnFormula>
    </tableColumn>
    <tableColumn id="19" xr3:uid="{D8050BC2-92B3-447D-8EB2-CC04B736CF0D}" name="Profit Margin" totalsRowFunction="average" dataDxfId="108" totalsRowDxfId="0" dataCellStyle="Percent">
      <calculatedColumnFormula array="1">(INDEX(Potions[Cost], Recipes[[#This Row],[Potion Index]])-Recipes[[#This Row],[Total Cost]])/Recipes[[#This Row],[Total Cost]]</calculatedColumnFormula>
    </tableColumn>
    <tableColumn id="18" xr3:uid="{A1F2DAA8-FE7E-4BBE-84D9-E97B6B65EB44}" name="Potion Index" dataDxfId="107">
      <calculatedColumnFormula>MATCH(Recipes[[#This Row],[Potion]],Potions[Name], 0)</calculatedColumnFormula>
    </tableColumn>
    <tableColumn id="12" xr3:uid="{62EE2BF5-750D-4381-A9FB-DCE4CB85836E}" name="Index 1" dataDxfId="106">
      <calculatedColumnFormula>MATCH(Recipes[[#This Row],[Item 1]],Ingredients[Name], 0)</calculatedColumnFormula>
    </tableColumn>
    <tableColumn id="13" xr3:uid="{BD995C84-5B4F-40F1-AA98-C9D08B51DC47}" name="Index 2" dataDxfId="105">
      <calculatedColumnFormula>MATCH(Recipes[[#This Row],[Item 2]],Ingredients[Name], 0)</calculatedColumnFormula>
    </tableColumn>
    <tableColumn id="14" xr3:uid="{71D28CC4-2D2A-4C74-8730-E74C36FB7D4D}" name="Index 3" dataDxfId="104">
      <calculatedColumnFormula>MATCH(Recipes[[#This Row],[Item 3]],Ingredients[Name], 0)</calculatedColumnFormula>
    </tableColumn>
    <tableColumn id="16" xr3:uid="{441D55A7-0CFC-4AA9-B8E4-18B917C04E76}" name="Max Rarity Index" dataDxfId="103">
      <calculatedColumnFormula xml:space="preserve"> MAX(IFERROR(INDEX(Ingredients[Rarity Index], Recipes[[#This Row],[Index 1]]), 0), IFERROR(INDEX(Ingredients[Rarity Index], Recipes[[#This Row],[Index 2]]), 0), IFERROR(INDEX(Ingredients[Rarity Index], Recipes[[#This Row],[Index 3]]), 0))</calculatedColumnFormula>
    </tableColumn>
    <tableColumn id="17" xr3:uid="{B9B448D3-B955-4668-A730-1BE5416C3974}" name="Potion Rarity Index" dataDxfId="102">
      <calculatedColumnFormula array="1">INDEX(Potions[Rarity Index], Recipes[[#This Row],[Potion Index]])</calculatedColumnFormula>
    </tableColumn>
    <tableColumn id="20" xr3:uid="{5C8B37F8-93EC-45C1-B5CD-A993EC55C715}" name="Ordinal 1" dataDxfId="101">
      <calculatedColumnFormula>(Recipes[[#This Row],[Item 1]]&gt;Recipes[[#This Row],[Item 2]])+(Recipes[[#This Row],[Item 1]]&gt;Recipes[[#This Row],[Item 3]]) + Recipes[[#This Row],[Ingredient Count]]-2</calculatedColumnFormula>
    </tableColumn>
    <tableColumn id="21" xr3:uid="{3785E39D-2960-460C-A8B9-6545512DD0A4}" name="Ordinal 2" dataDxfId="100">
      <calculatedColumnFormula>(Recipes[[#This Row],[Item 2]]&gt;Recipes[[#This Row],[Item 1]])+(Recipes[[#This Row],[Item 2]]&gt;Recipes[[#This Row],[Item 3]]) + Recipes[[#This Row],[Ingredient Count]]-2</calculatedColumnFormula>
    </tableColumn>
    <tableColumn id="22" xr3:uid="{2BEB7C0B-010B-4973-897D-E5733982828A}" name="Ordinal 3" dataDxfId="99">
      <calculatedColumnFormula>(Recipes[[#This Row],[Item 3]]&gt;Recipes[[#This Row],[Item 1]])+(Recipes[[#This Row],[Item 3]]&gt;Recipes[[#This Row],[Item 2]]) + Recipes[[#This Row],[Ingredient Count]]-2</calculatedColumnFormula>
    </tableColumn>
    <tableColumn id="7" xr3:uid="{4F5EE45D-1C96-48A9-B435-946FA1595517}" name="Combined" dataDxfId="98">
      <calculatedColumnFormula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calculatedColumnFormula>
    </tableColumn>
    <tableColumn id="9" xr3:uid="{296F79AD-58BD-4096-9378-D3B0A2D5EBB1}" name="Row" dataDxfId="97">
      <calculatedColumnFormula>ROW(Recipes[[#This Row],[Row]])-ROW(Recipes[[#Headers],[Row]])</calculatedColumnFormula>
    </tableColumn>
    <tableColumn id="8" xr3:uid="{A7CF2656-44E4-4D87-A182-420CA872EBE6}" name="Matching Row" dataDxfId="96">
      <calculatedColumnFormula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calculatedColumnFormula>
    </tableColumn>
    <tableColumn id="10" xr3:uid="{CD3BAA16-E044-4B68-BD28-B2A2E535E8D8}" name="Same As?" dataDxfId="95">
      <calculatedColumnFormula array="1">IF(Recipes[[#This Row],[Matching Row]]=-1, "Blank", IF(Recipes[[#This Row],[Matching Row]]=0, "Unique", INDEX(Recipes[Potion],Recipes[[#This Row],[Matching Row]])&amp;" #"&amp; INDEX(Recipes['#],Recipes[[#This Row],[Matching Row]])))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865CD1-2B72-4934-9A52-47ABC6E8AC64}" name="Rarities" displayName="Rarities" ref="B4:J10" totalsRowCount="1" headerRowDxfId="94">
  <autoFilter ref="B4:J9" xr:uid="{15865CD1-2B72-4934-9A52-47ABC6E8AC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8A07BBC-E4A1-48D1-BD0B-E020F49EB5F9}" name="Name" totalsRowLabel="Total"/>
    <tableColumn id="2" xr3:uid="{7F68BEC7-0AEE-4ABF-9B62-90844717F58F}" name="Cheapest" dataDxfId="93"/>
    <tableColumn id="3" xr3:uid="{AE101426-D7EA-433D-A519-542DC68476BC}" name="Most Expensive" dataDxfId="92"/>
    <tableColumn id="5" xr3:uid="{7E8FABC3-B9E3-4BEB-97DD-9D2FB274A63A}" name="Cost Range" dataDxfId="91">
      <calculatedColumnFormula>Rarities[[#This Row],[Most Expensive]]-Rarities[[#This Row],[Cheapest]]</calculatedColumnFormula>
    </tableColumn>
    <tableColumn id="4" xr3:uid="{9949BDBF-DB4F-4CBE-95C0-9041AE23D492}" name="Profit Multiplier" dataDxfId="90"/>
    <tableColumn id="6" xr3:uid="{CCC9347C-89BA-4103-90E4-8012BAB6A36F}" name="Ingredients" totalsRowFunction="sum" dataDxfId="89">
      <calculatedColumnFormula>COUNTIF(Ingredients[Rarity], Rarities[[#This Row],[Name]])</calculatedColumnFormula>
    </tableColumn>
    <tableColumn id="7" xr3:uid="{FEF06629-95EF-469A-ABD3-AE9F02034BCD}" name="Potions" totalsRowFunction="sum" dataDxfId="88">
      <calculatedColumnFormula>COUNTIF(Potions[Rarity], Rarities[[#This Row],[Name]])</calculatedColumnFormula>
    </tableColumn>
    <tableColumn id="8" xr3:uid="{B3BCA6BE-F3E6-4FE5-BFA5-52E444AA7726}" name="Ingredients %" dataDxfId="87" dataCellStyle="Percent">
      <calculatedColumnFormula>Rarities[[#This Row],[Ingredients]]/Rarities[[#Totals],[Ingredients]]</calculatedColumnFormula>
    </tableColumn>
    <tableColumn id="9" xr3:uid="{6093718C-F3D7-4374-A034-E2E7E3D029FE}" name="Potions %" dataDxfId="86" dataCellStyle="Percent">
      <calculatedColumnFormula>Rarities[[#This Row],[Potions]]/Rarities[[#Totals],[Potions]]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03A1-078B-47F4-B698-AE1FC36BEB09}">
  <dimension ref="B1:AP35"/>
  <sheetViews>
    <sheetView tabSelected="1" zoomScale="130" zoomScaleNormal="130" workbookViewId="0">
      <selection activeCell="S4" sqref="S4"/>
    </sheetView>
  </sheetViews>
  <sheetFormatPr defaultRowHeight="15" outlineLevelCol="1" x14ac:dyDescent="0.25"/>
  <cols>
    <col min="1" max="1" width="4.7109375" customWidth="1"/>
    <col min="2" max="2" width="15" customWidth="1"/>
    <col min="3" max="3" width="11" customWidth="1"/>
    <col min="4" max="4" width="8.42578125" hidden="1" customWidth="1" outlineLevel="1"/>
    <col min="5" max="5" width="8.85546875" customWidth="1" collapsed="1"/>
    <col min="6" max="6" width="10.85546875" customWidth="1"/>
    <col min="7" max="7" width="11" customWidth="1"/>
    <col min="8" max="8" width="3.5703125" customWidth="1"/>
    <col min="9" max="9" width="3.42578125" customWidth="1"/>
    <col min="10" max="10" width="18.7109375" customWidth="1"/>
    <col min="11" max="11" width="12" customWidth="1"/>
    <col min="12" max="12" width="8.7109375" hidden="1" customWidth="1" outlineLevel="1"/>
    <col min="13" max="13" width="8.85546875" customWidth="1" collapsed="1"/>
    <col min="14" max="14" width="9.85546875" hidden="1" customWidth="1" outlineLevel="1"/>
    <col min="15" max="15" width="9.42578125" hidden="1" customWidth="1" outlineLevel="1"/>
    <col min="16" max="16" width="9.42578125" customWidth="1" collapsed="1"/>
    <col min="17" max="17" width="8.85546875" customWidth="1"/>
    <col min="18" max="18" width="3.7109375" customWidth="1"/>
    <col min="19" max="19" width="3.85546875" customWidth="1"/>
    <col min="20" max="20" width="15.85546875" customWidth="1"/>
    <col min="21" max="21" width="4" customWidth="1"/>
    <col min="22" max="22" width="15" style="7" customWidth="1"/>
    <col min="23" max="24" width="15" customWidth="1"/>
    <col min="25" max="25" width="10" customWidth="1"/>
    <col min="26" max="26" width="9.42578125" customWidth="1"/>
    <col min="27" max="28" width="12.140625" customWidth="1"/>
    <col min="29" max="29" width="10" hidden="1" customWidth="1" outlineLevel="1"/>
    <col min="30" max="32" width="9" hidden="1" customWidth="1" outlineLevel="1"/>
    <col min="33" max="34" width="10" hidden="1" customWidth="1" outlineLevel="1"/>
    <col min="35" max="35" width="7.28515625" hidden="1" customWidth="1" outlineLevel="1"/>
    <col min="36" max="37" width="7.42578125" hidden="1" customWidth="1" outlineLevel="1"/>
    <col min="38" max="38" width="35.140625" hidden="1" customWidth="1" outlineLevel="1"/>
    <col min="39" max="39" width="6.28515625" hidden="1" customWidth="1" outlineLevel="1"/>
    <col min="40" max="40" width="8.42578125" hidden="1" customWidth="1" outlineLevel="1"/>
    <col min="41" max="41" width="10.42578125" customWidth="1" collapsed="1"/>
    <col min="42" max="42" width="15.85546875" customWidth="1"/>
    <col min="43" max="43" width="15.42578125" customWidth="1"/>
    <col min="44" max="44" width="13.28515625" customWidth="1"/>
  </cols>
  <sheetData>
    <row r="1" spans="2:41" x14ac:dyDescent="0.25">
      <c r="U1" s="7"/>
      <c r="V1"/>
      <c r="AI1" t="s">
        <v>94</v>
      </c>
    </row>
    <row r="2" spans="2:41" x14ac:dyDescent="0.25">
      <c r="U2" s="7"/>
      <c r="V2"/>
      <c r="AI2" t="s">
        <v>80</v>
      </c>
    </row>
    <row r="3" spans="2:41" ht="17.100000000000001" customHeight="1" x14ac:dyDescent="0.25">
      <c r="B3" s="5" t="s">
        <v>15</v>
      </c>
      <c r="F3" s="22" t="s">
        <v>89</v>
      </c>
      <c r="J3" s="5" t="s">
        <v>21</v>
      </c>
      <c r="N3" s="23" t="s">
        <v>82</v>
      </c>
      <c r="O3" s="23"/>
      <c r="P3" s="24" t="s">
        <v>88</v>
      </c>
      <c r="T3" s="5" t="s">
        <v>12</v>
      </c>
      <c r="U3" s="7"/>
      <c r="V3" s="19" t="s">
        <v>45</v>
      </c>
      <c r="W3" s="19"/>
      <c r="X3" s="19"/>
      <c r="Y3" s="19"/>
      <c r="Z3" s="19"/>
      <c r="AD3" s="20" t="s">
        <v>83</v>
      </c>
      <c r="AE3" s="20"/>
      <c r="AF3" s="20"/>
      <c r="AI3" t="s">
        <v>81</v>
      </c>
    </row>
    <row r="4" spans="2:41" s="2" customFormat="1" ht="28.5" customHeight="1" x14ac:dyDescent="0.25">
      <c r="B4" s="2" t="s">
        <v>20</v>
      </c>
      <c r="C4" s="2" t="s">
        <v>2</v>
      </c>
      <c r="D4" s="2" t="s">
        <v>38</v>
      </c>
      <c r="E4" s="2" t="s">
        <v>36</v>
      </c>
      <c r="F4" s="18" t="s">
        <v>22</v>
      </c>
      <c r="G4" s="2" t="s">
        <v>30</v>
      </c>
      <c r="H4"/>
      <c r="J4" s="2" t="s">
        <v>20</v>
      </c>
      <c r="K4" s="2" t="s">
        <v>2</v>
      </c>
      <c r="L4" s="2" t="s">
        <v>38</v>
      </c>
      <c r="M4" s="2" t="s">
        <v>12</v>
      </c>
      <c r="N4" s="17" t="s">
        <v>13</v>
      </c>
      <c r="O4" s="17" t="s">
        <v>14</v>
      </c>
      <c r="P4" s="18" t="s">
        <v>22</v>
      </c>
      <c r="Q4" s="2" t="s">
        <v>32</v>
      </c>
      <c r="R4"/>
      <c r="T4" s="2" t="s">
        <v>11</v>
      </c>
      <c r="U4" s="8" t="s">
        <v>44</v>
      </c>
      <c r="V4" s="10" t="s">
        <v>27</v>
      </c>
      <c r="W4" s="10" t="s">
        <v>28</v>
      </c>
      <c r="X4" s="10" t="s">
        <v>29</v>
      </c>
      <c r="Y4" s="10" t="s">
        <v>57</v>
      </c>
      <c r="Z4" s="10" t="s">
        <v>69</v>
      </c>
      <c r="AA4" s="2" t="s">
        <v>16</v>
      </c>
      <c r="AB4" s="2" t="s">
        <v>76</v>
      </c>
      <c r="AC4" s="2" t="s">
        <v>68</v>
      </c>
      <c r="AD4" s="10" t="s">
        <v>40</v>
      </c>
      <c r="AE4" s="10" t="s">
        <v>41</v>
      </c>
      <c r="AF4" s="10" t="s">
        <v>42</v>
      </c>
      <c r="AG4" s="2" t="s">
        <v>43</v>
      </c>
      <c r="AH4" s="2" t="s">
        <v>67</v>
      </c>
      <c r="AI4" s="33" t="s">
        <v>77</v>
      </c>
      <c r="AJ4" s="33" t="s">
        <v>78</v>
      </c>
      <c r="AK4" s="33" t="s">
        <v>79</v>
      </c>
      <c r="AL4" s="33" t="s">
        <v>23</v>
      </c>
      <c r="AM4" s="34" t="s">
        <v>24</v>
      </c>
      <c r="AN4" s="33" t="s">
        <v>25</v>
      </c>
      <c r="AO4" s="2" t="s">
        <v>26</v>
      </c>
    </row>
    <row r="5" spans="2:41" x14ac:dyDescent="0.25">
      <c r="B5" s="4" t="s">
        <v>53</v>
      </c>
      <c r="C5" s="4" t="s">
        <v>6</v>
      </c>
      <c r="D5">
        <f>MATCH(Ingredients[[#This Row],[Rarity]],Rarities[Name], 0)</f>
        <v>1</v>
      </c>
      <c r="E5" s="6">
        <v>0</v>
      </c>
      <c r="F5" cm="1">
        <f t="array" ref="F5">MROUND(INDEX(Rarities[Cheapest], Ingredients[[#This Row],[Rarity Index]])+Ingredients[[#This Row],[Cost Grade]]*INDEX(Rarities[Cost Range],Ingredients[[#This Row],[Rarity Index]]), 5)</f>
        <v>30</v>
      </c>
      <c r="G5">
        <f>COUNTIF(Recipes[[Item 1]:[Item 3]],Ingredients[[#This Row],[Name]])</f>
        <v>5</v>
      </c>
      <c r="J5" s="4" t="s">
        <v>64</v>
      </c>
      <c r="K5" s="4" t="s">
        <v>6</v>
      </c>
      <c r="L5">
        <f>MATCH(Potions[[#This Row],[Rarity]],Rarities[Name], 0)</f>
        <v>1</v>
      </c>
      <c r="M5">
        <f>COUNTIF(Recipes[Potion], Potions[[#This Row],[Name]])</f>
        <v>2</v>
      </c>
      <c r="N5">
        <f>_xlfn.MINIFS(Recipes[Total Cost],Recipes[Potion],Potions[[#This Row],[Name]])</f>
        <v>80</v>
      </c>
      <c r="O5">
        <f>_xlfn.MAXIFS(Recipes[Total Cost],Recipes[Potion],Potions[[#This Row],[Name]])</f>
        <v>110</v>
      </c>
      <c r="P5" cm="1">
        <f t="array" ref="P5">MROUND(AVERAGE(Potions[[#This Row],[Cheapest]:[Most Expensive]])*INDEX(Rarities[Profit Multiplier], Potions[[#This Row],[Rarity Index]]), 5)</f>
        <v>115</v>
      </c>
      <c r="Q5" s="25">
        <f>(Potions[[#This Row],[Cost]]-Potions[[#This Row],[Cheapest]])/Potions[[#This Row],[Cheapest]]</f>
        <v>0.4375</v>
      </c>
      <c r="T5" s="4" t="s">
        <v>64</v>
      </c>
      <c r="U5" s="7">
        <f>COUNTIF(Recipes[[#Headers],[Potion]]:Recipes[[#This Row],[Potion]], Recipes[[#This Row],[Potion]])</f>
        <v>1</v>
      </c>
      <c r="V5" s="21" t="s">
        <v>47</v>
      </c>
      <c r="W5" s="21" t="s">
        <v>54</v>
      </c>
      <c r="X5" s="21"/>
      <c r="Y5">
        <f>COUNTA(Recipes[[#This Row],[Item 1]:[Item 3]])</f>
        <v>2</v>
      </c>
      <c r="Z5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5">
        <f>SUM(IFERROR(INDEX(Ingredients[Cost], Recipes[[#This Row],[Index 1]]), 0), IFERROR(INDEX(Ingredients[Cost], Recipes[[#This Row],[Index 2]]), 0), IFERROR(INDEX(Ingredients[Cost], Recipes[[#This Row],[Index 3]]), 0))</f>
        <v>80</v>
      </c>
      <c r="AB5" s="25" cm="1">
        <f t="array" ref="AB5">(INDEX(Potions[Cost], Recipes[[#This Row],[Potion Index]])-Recipes[[#This Row],[Total Cost]])/Recipes[[#This Row],[Total Cost]]</f>
        <v>0.4375</v>
      </c>
      <c r="AC5">
        <f>MATCH(Recipes[[#This Row],[Potion]],Potions[Name], 0)</f>
        <v>1</v>
      </c>
      <c r="AD5">
        <f>MATCH(Recipes[[#This Row],[Item 1]],Ingredients[Name], 0)</f>
        <v>7</v>
      </c>
      <c r="AE5">
        <f>MATCH(Recipes[[#This Row],[Item 2]],Ingredients[Name], 0)</f>
        <v>3</v>
      </c>
      <c r="AF5" t="e">
        <f>MATCH(Recipes[[#This Row],[Item 3]],Ingredients[Name], 0)</f>
        <v>#N/A</v>
      </c>
      <c r="AG5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1</v>
      </c>
      <c r="AH5" cm="1">
        <f t="array" ref="AH5">INDEX(Potions[Rarity Index], Recipes[[#This Row],[Potion Index]])</f>
        <v>1</v>
      </c>
      <c r="AI5">
        <f>(Recipes[[#This Row],[Item 1]]&gt;Recipes[[#This Row],[Item 2]])+(Recipes[[#This Row],[Item 1]]&gt;Recipes[[#This Row],[Item 3]]) + Recipes[[#This Row],[Ingredient Count]]-2</f>
        <v>2</v>
      </c>
      <c r="AJ5">
        <f>(Recipes[[#This Row],[Item 2]]&gt;Recipes[[#This Row],[Item 1]])+(Recipes[[#This Row],[Item 2]]&gt;Recipes[[#This Row],[Item 3]]) + Recipes[[#This Row],[Ingredient Count]]-2</f>
        <v>1</v>
      </c>
      <c r="AK5">
        <f>(Recipes[[#This Row],[Item 3]]&gt;Recipes[[#This Row],[Item 1]])+(Recipes[[#This Row],[Item 3]]&gt;Recipes[[#This Row],[Item 2]]) + Recipes[[#This Row],[Ingredient Count]]-2</f>
        <v>0</v>
      </c>
      <c r="AL5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Crawler Grub + Tangleroot</v>
      </c>
      <c r="AM5">
        <f>ROW(Recipes[[#This Row],[Row]])-ROW(Recipes[[#Headers],[Row]])</f>
        <v>1</v>
      </c>
      <c r="AN5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5" t="str" cm="1">
        <f t="array" ref="AO5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6" spans="2:41" x14ac:dyDescent="0.25">
      <c r="B6" s="4" t="s">
        <v>49</v>
      </c>
      <c r="C6" s="4" t="s">
        <v>6</v>
      </c>
      <c r="D6">
        <f>MATCH(Ingredients[[#This Row],[Rarity]],Rarities[Name], 0)</f>
        <v>1</v>
      </c>
      <c r="E6" s="6">
        <v>0</v>
      </c>
      <c r="F6" cm="1">
        <f t="array" ref="F6">MROUND(INDEX(Rarities[Cheapest], Ingredients[[#This Row],[Rarity Index]])+Ingredients[[#This Row],[Cost Grade]]*INDEX(Rarities[Cost Range],Ingredients[[#This Row],[Rarity Index]]), 5)</f>
        <v>30</v>
      </c>
      <c r="G6">
        <f>COUNTIF(Recipes[[Item 1]:[Item 3]],Ingredients[[#This Row],[Name]])</f>
        <v>4</v>
      </c>
      <c r="J6" s="4" t="s">
        <v>62</v>
      </c>
      <c r="K6" s="4" t="s">
        <v>6</v>
      </c>
      <c r="L6">
        <f>MATCH(Potions[[#This Row],[Rarity]],Rarities[Name], 0)</f>
        <v>1</v>
      </c>
      <c r="M6">
        <f>COUNTIF(Recipes[Potion], Potions[[#This Row],[Name]])</f>
        <v>1</v>
      </c>
      <c r="N6">
        <f>_xlfn.MINIFS(Recipes[Total Cost],Recipes[Potion],Potions[[#This Row],[Name]])</f>
        <v>60</v>
      </c>
      <c r="O6">
        <f>_xlfn.MAXIFS(Recipes[Total Cost],Recipes[Potion],Potions[[#This Row],[Name]])</f>
        <v>60</v>
      </c>
      <c r="P6" cm="1">
        <f t="array" ref="P6">MROUND(AVERAGE(Potions[[#This Row],[Cheapest]:[Most Expensive]])*INDEX(Rarities[Profit Multiplier], Potions[[#This Row],[Rarity Index]]), 5)</f>
        <v>70</v>
      </c>
      <c r="Q6" s="25">
        <f>(Potions[[#This Row],[Cost]]-Potions[[#This Row],[Cheapest]])/Potions[[#This Row],[Cheapest]]</f>
        <v>0.16666666666666666</v>
      </c>
      <c r="T6" s="4" t="s">
        <v>64</v>
      </c>
      <c r="U6" s="7">
        <f>COUNTIF(Recipes[[#Headers],[Potion]]:Recipes[[#This Row],[Potion]], Recipes[[#This Row],[Potion]])</f>
        <v>2</v>
      </c>
      <c r="V6" s="21" t="s">
        <v>55</v>
      </c>
      <c r="W6" s="21" t="s">
        <v>53</v>
      </c>
      <c r="X6" s="21"/>
      <c r="Y6">
        <f>COUNTA(Recipes[[#This Row],[Item 1]:[Item 3]])</f>
        <v>2</v>
      </c>
      <c r="Z6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A6">
        <f>SUM(IFERROR(INDEX(Ingredients[Cost], Recipes[[#This Row],[Index 1]]), 0), IFERROR(INDEX(Ingredients[Cost], Recipes[[#This Row],[Index 2]]), 0), IFERROR(INDEX(Ingredients[Cost], Recipes[[#This Row],[Index 3]]), 0))</f>
        <v>110</v>
      </c>
      <c r="AB6" s="25" cm="1">
        <f t="array" ref="AB6">(INDEX(Potions[Cost], Recipes[[#This Row],[Potion Index]])-Recipes[[#This Row],[Total Cost]])/Recipes[[#This Row],[Total Cost]]</f>
        <v>4.5454545454545456E-2</v>
      </c>
      <c r="AC6">
        <f>MATCH(Recipes[[#This Row],[Potion]],Potions[Name], 0)</f>
        <v>1</v>
      </c>
      <c r="AD6">
        <f>MATCH(Recipes[[#This Row],[Item 1]],Ingredients[Name], 0)</f>
        <v>9</v>
      </c>
      <c r="AE6">
        <f>MATCH(Recipes[[#This Row],[Item 2]],Ingredients[Name], 0)</f>
        <v>1</v>
      </c>
      <c r="AF6" t="e">
        <f>MATCH(Recipes[[#This Row],[Item 3]],Ingredients[Name], 0)</f>
        <v>#N/A</v>
      </c>
      <c r="AG6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H6" cm="1">
        <f t="array" ref="AH6">INDEX(Potions[Rarity Index], Recipes[[#This Row],[Potion Index]])</f>
        <v>1</v>
      </c>
      <c r="AI6">
        <f>(Recipes[[#This Row],[Item 1]]&gt;Recipes[[#This Row],[Item 2]])+(Recipes[[#This Row],[Item 1]]&gt;Recipes[[#This Row],[Item 3]]) + Recipes[[#This Row],[Ingredient Count]]-2</f>
        <v>1</v>
      </c>
      <c r="AJ6">
        <f>(Recipes[[#This Row],[Item 2]]&gt;Recipes[[#This Row],[Item 1]])+(Recipes[[#This Row],[Item 2]]&gt;Recipes[[#This Row],[Item 3]]) + Recipes[[#This Row],[Ingredient Count]]-2</f>
        <v>2</v>
      </c>
      <c r="AK6">
        <f>(Recipes[[#This Row],[Item 3]]&gt;Recipes[[#This Row],[Item 1]])+(Recipes[[#This Row],[Item 3]]&gt;Recipes[[#This Row],[Item 2]]) + Recipes[[#This Row],[Ingredient Count]]-2</f>
        <v>0</v>
      </c>
      <c r="AL6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Amber + Monster Blood</v>
      </c>
      <c r="AM6">
        <f>ROW(Recipes[[#This Row],[Row]])-ROW(Recipes[[#Headers],[Row]])</f>
        <v>2</v>
      </c>
      <c r="AN6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6" t="str" cm="1">
        <f t="array" ref="AO6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7" spans="2:41" x14ac:dyDescent="0.25">
      <c r="B7" s="4" t="s">
        <v>54</v>
      </c>
      <c r="C7" s="4" t="s">
        <v>6</v>
      </c>
      <c r="D7">
        <f>MATCH(Ingredients[[#This Row],[Rarity]],Rarities[Name], 0)</f>
        <v>1</v>
      </c>
      <c r="E7" s="6">
        <v>0.1</v>
      </c>
      <c r="F7" cm="1">
        <f t="array" ref="F7">MROUND(INDEX(Rarities[Cheapest], Ingredients[[#This Row],[Rarity Index]])+Ingredients[[#This Row],[Cost Grade]]*INDEX(Rarities[Cost Range],Ingredients[[#This Row],[Rarity Index]]), 5)</f>
        <v>30</v>
      </c>
      <c r="G7">
        <f>COUNTIF(Recipes[[Item 1]:[Item 3]],Ingredients[[#This Row],[Name]])</f>
        <v>2</v>
      </c>
      <c r="J7" s="4" t="s">
        <v>66</v>
      </c>
      <c r="K7" s="4" t="s">
        <v>6</v>
      </c>
      <c r="L7">
        <f>MATCH(Potions[[#This Row],[Rarity]],Rarities[Name], 0)</f>
        <v>1</v>
      </c>
      <c r="M7">
        <f>COUNTIF(Recipes[Potion], Potions[[#This Row],[Name]])</f>
        <v>2</v>
      </c>
      <c r="N7">
        <f>_xlfn.MINIFS(Recipes[Total Cost],Recipes[Potion],Potions[[#This Row],[Name]])</f>
        <v>100</v>
      </c>
      <c r="O7">
        <f>_xlfn.MAXIFS(Recipes[Total Cost],Recipes[Potion],Potions[[#This Row],[Name]])</f>
        <v>100</v>
      </c>
      <c r="P7" cm="1">
        <f t="array" ref="P7">MROUND(AVERAGE(Potions[[#This Row],[Cheapest]:[Most Expensive]])*INDEX(Rarities[Profit Multiplier], Potions[[#This Row],[Rarity Index]]), 5)</f>
        <v>120</v>
      </c>
      <c r="Q7" s="25">
        <f>(Potions[[#This Row],[Cost]]-Potions[[#This Row],[Cheapest]])/Potions[[#This Row],[Cheapest]]</f>
        <v>0.2</v>
      </c>
      <c r="T7" s="4" t="s">
        <v>62</v>
      </c>
      <c r="U7" s="7">
        <f>COUNTIF(Recipes[[#Headers],[Potion]]:Recipes[[#This Row],[Potion]], Recipes[[#This Row],[Potion]])</f>
        <v>1</v>
      </c>
      <c r="V7" s="21" t="s">
        <v>53</v>
      </c>
      <c r="W7" s="21" t="s">
        <v>5</v>
      </c>
      <c r="X7" s="21"/>
      <c r="Y7">
        <f>COUNTA(Recipes[[#This Row],[Item 1]:[Item 3]])</f>
        <v>2</v>
      </c>
      <c r="Z7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7">
        <f>SUM(IFERROR(INDEX(Ingredients[Cost], Recipes[[#This Row],[Index 1]]), 0), IFERROR(INDEX(Ingredients[Cost], Recipes[[#This Row],[Index 2]]), 0), IFERROR(INDEX(Ingredients[Cost], Recipes[[#This Row],[Index 3]]), 0))</f>
        <v>60</v>
      </c>
      <c r="AB7" s="25" cm="1">
        <f t="array" ref="AB7">(INDEX(Potions[Cost], Recipes[[#This Row],[Potion Index]])-Recipes[[#This Row],[Total Cost]])/Recipes[[#This Row],[Total Cost]]</f>
        <v>0.16666666666666666</v>
      </c>
      <c r="AC7">
        <f>MATCH(Recipes[[#This Row],[Potion]],Potions[Name], 0)</f>
        <v>2</v>
      </c>
      <c r="AD7">
        <f>MATCH(Recipes[[#This Row],[Item 1]],Ingredients[Name], 0)</f>
        <v>1</v>
      </c>
      <c r="AE7">
        <f>MATCH(Recipes[[#This Row],[Item 2]],Ingredients[Name], 0)</f>
        <v>4</v>
      </c>
      <c r="AF7" t="e">
        <f>MATCH(Recipes[[#This Row],[Item 3]],Ingredients[Name], 0)</f>
        <v>#N/A</v>
      </c>
      <c r="AG7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1</v>
      </c>
      <c r="AH7" cm="1">
        <f t="array" ref="AH7">INDEX(Potions[Rarity Index], Recipes[[#This Row],[Potion Index]])</f>
        <v>1</v>
      </c>
      <c r="AI7">
        <f>(Recipes[[#This Row],[Item 1]]&gt;Recipes[[#This Row],[Item 2]])+(Recipes[[#This Row],[Item 1]]&gt;Recipes[[#This Row],[Item 3]]) + Recipes[[#This Row],[Ingredient Count]]-2</f>
        <v>1</v>
      </c>
      <c r="AJ7">
        <f>(Recipes[[#This Row],[Item 2]]&gt;Recipes[[#This Row],[Item 1]])+(Recipes[[#This Row],[Item 2]]&gt;Recipes[[#This Row],[Item 3]]) + Recipes[[#This Row],[Ingredient Count]]-2</f>
        <v>2</v>
      </c>
      <c r="AK7">
        <f>(Recipes[[#This Row],[Item 3]]&gt;Recipes[[#This Row],[Item 1]])+(Recipes[[#This Row],[Item 3]]&gt;Recipes[[#This Row],[Item 2]]) + Recipes[[#This Row],[Ingredient Count]]-2</f>
        <v>0</v>
      </c>
      <c r="AL7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Monster Blood + Morning Dew</v>
      </c>
      <c r="AM7">
        <f>ROW(Recipes[[#This Row],[Row]])-ROW(Recipes[[#Headers],[Row]])</f>
        <v>3</v>
      </c>
      <c r="AN7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7" t="str">
        <f t="array" ref="AO7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8" spans="2:41" x14ac:dyDescent="0.25">
      <c r="B8" s="4" t="s">
        <v>5</v>
      </c>
      <c r="C8" s="4" t="s">
        <v>6</v>
      </c>
      <c r="D8">
        <f>MATCH(Ingredients[[#This Row],[Rarity]],Rarities[Name], 0)</f>
        <v>1</v>
      </c>
      <c r="E8" s="6">
        <v>0.1</v>
      </c>
      <c r="F8" cm="1">
        <f t="array" ref="F8">MROUND(INDEX(Rarities[Cheapest], Ingredients[[#This Row],[Rarity Index]])+Ingredients[[#This Row],[Cost Grade]]*INDEX(Rarities[Cost Range],Ingredients[[#This Row],[Rarity Index]]), 5)</f>
        <v>30</v>
      </c>
      <c r="G8">
        <f>COUNTIF(Recipes[[Item 1]:[Item 3]],Ingredients[[#This Row],[Name]])</f>
        <v>4</v>
      </c>
      <c r="J8" s="4" t="s">
        <v>56</v>
      </c>
      <c r="K8" s="4" t="s">
        <v>6</v>
      </c>
      <c r="L8">
        <f>MATCH(Potions[[#This Row],[Rarity]],Rarities[Name], 0)</f>
        <v>1</v>
      </c>
      <c r="M8">
        <f>COUNTIF(Recipes[Potion], Potions[[#This Row],[Name]])</f>
        <v>1</v>
      </c>
      <c r="N8">
        <f>_xlfn.MINIFS(Recipes[Total Cost],Recipes[Potion],Potions[[#This Row],[Name]])</f>
        <v>90</v>
      </c>
      <c r="O8">
        <f>_xlfn.MAXIFS(Recipes[Total Cost],Recipes[Potion],Potions[[#This Row],[Name]])</f>
        <v>90</v>
      </c>
      <c r="P8" cm="1">
        <f t="array" ref="P8">MROUND(AVERAGE(Potions[[#This Row],[Cheapest]:[Most Expensive]])*INDEX(Rarities[Profit Multiplier], Potions[[#This Row],[Rarity Index]]), 5)</f>
        <v>110</v>
      </c>
      <c r="Q8" s="25">
        <f>(Potions[[#This Row],[Cost]]-Potions[[#This Row],[Cheapest]])/Potions[[#This Row],[Cheapest]]</f>
        <v>0.22222222222222221</v>
      </c>
      <c r="T8" s="4" t="s">
        <v>66</v>
      </c>
      <c r="U8" s="7">
        <f>COUNTIF(Recipes[[#Headers],[Potion]]:Recipes[[#This Row],[Potion]], Recipes[[#This Row],[Potion]])</f>
        <v>1</v>
      </c>
      <c r="V8" s="21" t="s">
        <v>4</v>
      </c>
      <c r="W8" s="21" t="s">
        <v>49</v>
      </c>
      <c r="X8" s="21"/>
      <c r="Y8">
        <f>COUNTA(Recipes[[#This Row],[Item 1]:[Item 3]])</f>
        <v>2</v>
      </c>
      <c r="Z8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A8">
        <f>SUM(IFERROR(INDEX(Ingredients[Cost], Recipes[[#This Row],[Index 1]]), 0), IFERROR(INDEX(Ingredients[Cost], Recipes[[#This Row],[Index 2]]), 0), IFERROR(INDEX(Ingredients[Cost], Recipes[[#This Row],[Index 3]]), 0))</f>
        <v>100</v>
      </c>
      <c r="AB8" s="25" cm="1">
        <f t="array" ref="AB8">(INDEX(Potions[Cost], Recipes[[#This Row],[Potion Index]])-Recipes[[#This Row],[Total Cost]])/Recipes[[#This Row],[Total Cost]]</f>
        <v>0.2</v>
      </c>
      <c r="AC8">
        <f>MATCH(Recipes[[#This Row],[Potion]],Potions[Name], 0)</f>
        <v>3</v>
      </c>
      <c r="AD8">
        <f>MATCH(Recipes[[#This Row],[Item 1]],Ingredients[Name], 0)</f>
        <v>8</v>
      </c>
      <c r="AE8">
        <f>MATCH(Recipes[[#This Row],[Item 2]],Ingredients[Name], 0)</f>
        <v>2</v>
      </c>
      <c r="AF8" t="e">
        <f>MATCH(Recipes[[#This Row],[Item 3]],Ingredients[Name], 0)</f>
        <v>#N/A</v>
      </c>
      <c r="AG8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H8" cm="1">
        <f t="array" ref="AH8">INDEX(Potions[Rarity Index], Recipes[[#This Row],[Potion Index]])</f>
        <v>1</v>
      </c>
      <c r="AI8">
        <f>(Recipes[[#This Row],[Item 1]]&gt;Recipes[[#This Row],[Item 2]])+(Recipes[[#This Row],[Item 1]]&gt;Recipes[[#This Row],[Item 3]]) + Recipes[[#This Row],[Ingredient Count]]-2</f>
        <v>1</v>
      </c>
      <c r="AJ8">
        <f>(Recipes[[#This Row],[Item 2]]&gt;Recipes[[#This Row],[Item 1]])+(Recipes[[#This Row],[Item 2]]&gt;Recipes[[#This Row],[Item 3]]) + Recipes[[#This Row],[Ingredient Count]]-2</f>
        <v>2</v>
      </c>
      <c r="AK8">
        <f>(Recipes[[#This Row],[Item 3]]&gt;Recipes[[#This Row],[Item 1]])+(Recipes[[#This Row],[Item 3]]&gt;Recipes[[#This Row],[Item 2]]) + Recipes[[#This Row],[Ingredient Count]]-2</f>
        <v>0</v>
      </c>
      <c r="AL8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Dizzyberry + Noxious Slime</v>
      </c>
      <c r="AM8">
        <f>ROW(Recipes[[#This Row],[Row]])-ROW(Recipes[[#Headers],[Row]])</f>
        <v>4</v>
      </c>
      <c r="AN8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8" t="str" cm="1">
        <f t="array" ref="AO8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9" spans="2:41" x14ac:dyDescent="0.25">
      <c r="B9" s="4" t="s">
        <v>0</v>
      </c>
      <c r="C9" s="4" t="s">
        <v>6</v>
      </c>
      <c r="D9">
        <f>MATCH(Ingredients[[#This Row],[Rarity]],Rarities[Name], 0)</f>
        <v>1</v>
      </c>
      <c r="E9" s="6">
        <v>0.2</v>
      </c>
      <c r="F9" cm="1">
        <f t="array" ref="F9">MROUND(INDEX(Rarities[Cheapest], Ingredients[[#This Row],[Rarity Index]])+Ingredients[[#This Row],[Cost Grade]]*INDEX(Rarities[Cost Range],Ingredients[[#This Row],[Rarity Index]]), 5)</f>
        <v>35</v>
      </c>
      <c r="G9">
        <f>COUNTIF(Recipes[[Item 1]:[Item 3]],Ingredients[[#This Row],[Name]])</f>
        <v>3</v>
      </c>
      <c r="J9" s="4" t="s">
        <v>71</v>
      </c>
      <c r="K9" s="4" t="s">
        <v>7</v>
      </c>
      <c r="L9">
        <f>MATCH(Potions[[#This Row],[Rarity]],Rarities[Name], 0)</f>
        <v>2</v>
      </c>
      <c r="M9">
        <f>COUNTIF(Recipes[Potion], Potions[[#This Row],[Name]])</f>
        <v>3</v>
      </c>
      <c r="N9">
        <f>_xlfn.MINIFS(Recipes[Total Cost],Recipes[Potion],Potions[[#This Row],[Name]])</f>
        <v>150</v>
      </c>
      <c r="O9">
        <f>_xlfn.MAXIFS(Recipes[Total Cost],Recipes[Potion],Potions[[#This Row],[Name]])</f>
        <v>200</v>
      </c>
      <c r="P9" cm="1">
        <f t="array" ref="P9">MROUND(AVERAGE(Potions[[#This Row],[Cheapest]:[Most Expensive]])*INDEX(Rarities[Profit Multiplier], Potions[[#This Row],[Rarity Index]]), 5)</f>
        <v>230</v>
      </c>
      <c r="Q9" s="25">
        <f>(Potions[[#This Row],[Cost]]-Potions[[#This Row],[Cheapest]])/Potions[[#This Row],[Cheapest]]</f>
        <v>0.53333333333333333</v>
      </c>
      <c r="T9" s="4" t="s">
        <v>66</v>
      </c>
      <c r="U9" s="7">
        <f>COUNTIF(Recipes[[#Headers],[Potion]]:Recipes[[#This Row],[Potion]], Recipes[[#This Row],[Potion]])</f>
        <v>2</v>
      </c>
      <c r="V9" s="21" t="s">
        <v>4</v>
      </c>
      <c r="W9" s="21" t="s">
        <v>53</v>
      </c>
      <c r="X9" s="21"/>
      <c r="Y9">
        <f>COUNTA(Recipes[[#This Row],[Item 1]:[Item 3]])</f>
        <v>2</v>
      </c>
      <c r="Z9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A9">
        <f>SUM(IFERROR(INDEX(Ingredients[Cost], Recipes[[#This Row],[Index 1]]), 0), IFERROR(INDEX(Ingredients[Cost], Recipes[[#This Row],[Index 2]]), 0), IFERROR(INDEX(Ingredients[Cost], Recipes[[#This Row],[Index 3]]), 0))</f>
        <v>100</v>
      </c>
      <c r="AB9" s="25" cm="1">
        <f t="array" ref="AB9">(INDEX(Potions[Cost], Recipes[[#This Row],[Potion Index]])-Recipes[[#This Row],[Total Cost]])/Recipes[[#This Row],[Total Cost]]</f>
        <v>0.2</v>
      </c>
      <c r="AC9">
        <f>MATCH(Recipes[[#This Row],[Potion]],Potions[Name], 0)</f>
        <v>3</v>
      </c>
      <c r="AD9">
        <f>MATCH(Recipes[[#This Row],[Item 1]],Ingredients[Name], 0)</f>
        <v>8</v>
      </c>
      <c r="AE9">
        <f>MATCH(Recipes[[#This Row],[Item 2]],Ingredients[Name], 0)</f>
        <v>1</v>
      </c>
      <c r="AF9" t="e">
        <f>MATCH(Recipes[[#This Row],[Item 3]],Ingredients[Name], 0)</f>
        <v>#N/A</v>
      </c>
      <c r="AG9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H9" cm="1">
        <f t="array" ref="AH9">INDEX(Potions[Rarity Index], Recipes[[#This Row],[Potion Index]])</f>
        <v>1</v>
      </c>
      <c r="AI9">
        <f>(Recipes[[#This Row],[Item 1]]&gt;Recipes[[#This Row],[Item 2]])+(Recipes[[#This Row],[Item 1]]&gt;Recipes[[#This Row],[Item 3]]) + Recipes[[#This Row],[Ingredient Count]]-2</f>
        <v>1</v>
      </c>
      <c r="AJ9">
        <f>(Recipes[[#This Row],[Item 2]]&gt;Recipes[[#This Row],[Item 1]])+(Recipes[[#This Row],[Item 2]]&gt;Recipes[[#This Row],[Item 3]]) + Recipes[[#This Row],[Ingredient Count]]-2</f>
        <v>2</v>
      </c>
      <c r="AK9">
        <f>(Recipes[[#This Row],[Item 3]]&gt;Recipes[[#This Row],[Item 1]])+(Recipes[[#This Row],[Item 3]]&gt;Recipes[[#This Row],[Item 2]]) + Recipes[[#This Row],[Ingredient Count]]-2</f>
        <v>0</v>
      </c>
      <c r="AL9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Dizzyberry + Monster Blood</v>
      </c>
      <c r="AM9">
        <f>ROW(Recipes[[#This Row],[Row]])-ROW(Recipes[[#Headers],[Row]])</f>
        <v>5</v>
      </c>
      <c r="AN9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9" t="str" cm="1">
        <f t="array" ref="AO9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0" spans="2:41" x14ac:dyDescent="0.25">
      <c r="B10" s="4" t="s">
        <v>52</v>
      </c>
      <c r="C10" s="4" t="s">
        <v>6</v>
      </c>
      <c r="D10">
        <f>MATCH(Ingredients[[#This Row],[Rarity]],Rarities[Name], 0)</f>
        <v>1</v>
      </c>
      <c r="E10" s="6">
        <v>0.5</v>
      </c>
      <c r="F10" cm="1">
        <f t="array" ref="F10">MROUND(INDEX(Rarities[Cheapest], Ingredients[[#This Row],[Rarity Index]])+Ingredients[[#This Row],[Cost Grade]]*INDEX(Rarities[Cost Range],Ingredients[[#This Row],[Rarity Index]]), 5)</f>
        <v>40</v>
      </c>
      <c r="G10">
        <f>COUNTIF(Recipes[[Item 1]:[Item 3]],Ingredients[[#This Row],[Name]])</f>
        <v>2</v>
      </c>
      <c r="J10" s="4" t="s">
        <v>70</v>
      </c>
      <c r="K10" s="4" t="s">
        <v>7</v>
      </c>
      <c r="L10">
        <f>MATCH(Potions[[#This Row],[Rarity]],Rarities[Name], 0)</f>
        <v>2</v>
      </c>
      <c r="M10">
        <f>COUNTIF(Recipes[Potion], Potions[[#This Row],[Name]])</f>
        <v>1</v>
      </c>
      <c r="N10">
        <f>_xlfn.MINIFS(Recipes[Total Cost],Recipes[Potion],Potions[[#This Row],[Name]])</f>
        <v>175</v>
      </c>
      <c r="O10">
        <f>_xlfn.MAXIFS(Recipes[Total Cost],Recipes[Potion],Potions[[#This Row],[Name]])</f>
        <v>175</v>
      </c>
      <c r="P10" cm="1">
        <f t="array" ref="P10">MROUND(AVERAGE(Potions[[#This Row],[Cheapest]:[Most Expensive]])*INDEX(Rarities[Profit Multiplier], Potions[[#This Row],[Rarity Index]]), 5)</f>
        <v>230</v>
      </c>
      <c r="Q10" s="25">
        <f>(Potions[[#This Row],[Cost]]-Potions[[#This Row],[Cheapest]])/Potions[[#This Row],[Cheapest]]</f>
        <v>0.31428571428571428</v>
      </c>
      <c r="T10" s="4" t="s">
        <v>56</v>
      </c>
      <c r="U10" s="7">
        <f>COUNTIF(Recipes[[#Headers],[Potion]]:Recipes[[#This Row],[Potion]], Recipes[[#This Row],[Potion]])</f>
        <v>1</v>
      </c>
      <c r="V10" s="21" t="s">
        <v>52</v>
      </c>
      <c r="W10" s="21" t="s">
        <v>47</v>
      </c>
      <c r="X10" s="21"/>
      <c r="Y10">
        <f>COUNTA(Recipes[[#This Row],[Item 1]:[Item 3]])</f>
        <v>2</v>
      </c>
      <c r="Z10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10">
        <f>SUM(IFERROR(INDEX(Ingredients[Cost], Recipes[[#This Row],[Index 1]]), 0), IFERROR(INDEX(Ingredients[Cost], Recipes[[#This Row],[Index 2]]), 0), IFERROR(INDEX(Ingredients[Cost], Recipes[[#This Row],[Index 3]]), 0))</f>
        <v>90</v>
      </c>
      <c r="AB10" s="25" cm="1">
        <f t="array" ref="AB10">(INDEX(Potions[Cost], Recipes[[#This Row],[Potion Index]])-Recipes[[#This Row],[Total Cost]])/Recipes[[#This Row],[Total Cost]]</f>
        <v>0.22222222222222221</v>
      </c>
      <c r="AC10">
        <f>MATCH(Recipes[[#This Row],[Potion]],Potions[Name], 0)</f>
        <v>4</v>
      </c>
      <c r="AD10">
        <f>MATCH(Recipes[[#This Row],[Item 1]],Ingredients[Name], 0)</f>
        <v>6</v>
      </c>
      <c r="AE10">
        <f>MATCH(Recipes[[#This Row],[Item 2]],Ingredients[Name], 0)</f>
        <v>7</v>
      </c>
      <c r="AF10" t="e">
        <f>MATCH(Recipes[[#This Row],[Item 3]],Ingredients[Name], 0)</f>
        <v>#N/A</v>
      </c>
      <c r="AG10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1</v>
      </c>
      <c r="AH10" cm="1">
        <f t="array" ref="AH10">INDEX(Potions[Rarity Index], Recipes[[#This Row],[Potion Index]])</f>
        <v>1</v>
      </c>
      <c r="AI10">
        <f>(Recipes[[#This Row],[Item 1]]&gt;Recipes[[#This Row],[Item 2]])+(Recipes[[#This Row],[Item 1]]&gt;Recipes[[#This Row],[Item 3]]) + Recipes[[#This Row],[Ingredient Count]]-2</f>
        <v>2</v>
      </c>
      <c r="AJ10">
        <f>(Recipes[[#This Row],[Item 2]]&gt;Recipes[[#This Row],[Item 1]])+(Recipes[[#This Row],[Item 2]]&gt;Recipes[[#This Row],[Item 3]]) + Recipes[[#This Row],[Ingredient Count]]-2</f>
        <v>1</v>
      </c>
      <c r="AK10">
        <f>(Recipes[[#This Row],[Item 3]]&gt;Recipes[[#This Row],[Item 1]])+(Recipes[[#This Row],[Item 3]]&gt;Recipes[[#This Row],[Item 2]]) + Recipes[[#This Row],[Ingredient Count]]-2</f>
        <v>0</v>
      </c>
      <c r="AL10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Tangleroot + Vitafruit</v>
      </c>
      <c r="AM10">
        <f>ROW(Recipes[[#This Row],[Row]])-ROW(Recipes[[#Headers],[Row]])</f>
        <v>6</v>
      </c>
      <c r="AN10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0" t="str" cm="1">
        <f t="array" ref="AO10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1" spans="2:41" x14ac:dyDescent="0.25">
      <c r="B11" s="11" t="s">
        <v>47</v>
      </c>
      <c r="C11" s="11" t="s">
        <v>6</v>
      </c>
      <c r="D11">
        <f>MATCH(Ingredients[[#This Row],[Rarity]],Rarities[Name], 0)</f>
        <v>1</v>
      </c>
      <c r="E11" s="12">
        <v>1</v>
      </c>
      <c r="F11" cm="1">
        <f t="array" ref="F11">MROUND(INDEX(Rarities[Cheapest], Ingredients[[#This Row],[Rarity Index]])+Ingredients[[#This Row],[Cost Grade]]*INDEX(Rarities[Cost Range],Ingredients[[#This Row],[Rarity Index]]), 5)</f>
        <v>50</v>
      </c>
      <c r="G11">
        <f>COUNTIF(Recipes[[Item 1]:[Item 3]],Ingredients[[#This Row],[Name]])</f>
        <v>3</v>
      </c>
      <c r="J11" s="11" t="s">
        <v>18</v>
      </c>
      <c r="K11" s="11" t="s">
        <v>7</v>
      </c>
      <c r="L11">
        <f>MATCH(Potions[[#This Row],[Rarity]],Rarities[Name], 0)</f>
        <v>2</v>
      </c>
      <c r="M11">
        <f>COUNTIF(Recipes[Potion], Potions[[#This Row],[Name]])</f>
        <v>1</v>
      </c>
      <c r="N11">
        <f>_xlfn.MINIFS(Recipes[Total Cost],Recipes[Potion],Potions[[#This Row],[Name]])</f>
        <v>150</v>
      </c>
      <c r="O11">
        <f>_xlfn.MAXIFS(Recipes[Total Cost],Recipes[Potion],Potions[[#This Row],[Name]])</f>
        <v>150</v>
      </c>
      <c r="P11" cm="1">
        <f t="array" ref="P11">MROUND(AVERAGE(Potions[[#This Row],[Cheapest]:[Most Expensive]])*INDEX(Rarities[Profit Multiplier], Potions[[#This Row],[Rarity Index]]), 5)</f>
        <v>195</v>
      </c>
      <c r="Q11" s="25">
        <f>(Potions[[#This Row],[Cost]]-Potions[[#This Row],[Cheapest]])/Potions[[#This Row],[Cheapest]]</f>
        <v>0.3</v>
      </c>
      <c r="T11" s="4" t="s">
        <v>71</v>
      </c>
      <c r="U11" s="7">
        <f>COUNTIF(Recipes[[#Headers],[Potion]]:Recipes[[#This Row],[Potion]], Recipes[[#This Row],[Potion]])</f>
        <v>1</v>
      </c>
      <c r="V11" s="21" t="s">
        <v>1</v>
      </c>
      <c r="W11" s="21" t="s">
        <v>49</v>
      </c>
      <c r="X11" s="21"/>
      <c r="Y11">
        <f>COUNTA(Recipes[[#This Row],[Item 1]:[Item 3]])</f>
        <v>2</v>
      </c>
      <c r="Z11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A11">
        <f>SUM(IFERROR(INDEX(Ingredients[Cost], Recipes[[#This Row],[Index 1]]), 0), IFERROR(INDEX(Ingredients[Cost], Recipes[[#This Row],[Index 2]]), 0), IFERROR(INDEX(Ingredients[Cost], Recipes[[#This Row],[Index 3]]), 0))</f>
        <v>150</v>
      </c>
      <c r="AB11" s="25" cm="1">
        <f t="array" ref="AB11">(INDEX(Potions[Cost], Recipes[[#This Row],[Potion Index]])-Recipes[[#This Row],[Total Cost]])/Recipes[[#This Row],[Total Cost]]</f>
        <v>0.53333333333333333</v>
      </c>
      <c r="AC11">
        <f>MATCH(Recipes[[#This Row],[Potion]],Potions[Name], 0)</f>
        <v>5</v>
      </c>
      <c r="AD11">
        <f>MATCH(Recipes[[#This Row],[Item 1]],Ingredients[Name], 0)</f>
        <v>11</v>
      </c>
      <c r="AE11">
        <f>MATCH(Recipes[[#This Row],[Item 2]],Ingredients[Name], 0)</f>
        <v>2</v>
      </c>
      <c r="AF11" t="e">
        <f>MATCH(Recipes[[#This Row],[Item 3]],Ingredients[Name], 0)</f>
        <v>#N/A</v>
      </c>
      <c r="AG11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3</v>
      </c>
      <c r="AH11">
        <f t="array" ref="AH11">INDEX(Potions[Rarity Index], Recipes[[#This Row],[Potion Index]])</f>
        <v>2</v>
      </c>
      <c r="AI11">
        <f>(Recipes[[#This Row],[Item 1]]&gt;Recipes[[#This Row],[Item 2]])+(Recipes[[#This Row],[Item 1]]&gt;Recipes[[#This Row],[Item 3]]) + Recipes[[#This Row],[Ingredient Count]]-2</f>
        <v>1</v>
      </c>
      <c r="AJ11">
        <f>(Recipes[[#This Row],[Item 2]]&gt;Recipes[[#This Row],[Item 1]])+(Recipes[[#This Row],[Item 2]]&gt;Recipes[[#This Row],[Item 3]]) + Recipes[[#This Row],[Ingredient Count]]-2</f>
        <v>2</v>
      </c>
      <c r="AK11">
        <f>(Recipes[[#This Row],[Item 3]]&gt;Recipes[[#This Row],[Item 1]])+(Recipes[[#This Row],[Item 3]]&gt;Recipes[[#This Row],[Item 2]]) + Recipes[[#This Row],[Ingredient Count]]-2</f>
        <v>0</v>
      </c>
      <c r="AL11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Frostweed + Noxious Slime</v>
      </c>
      <c r="AM11">
        <f>ROW(Recipes[[#This Row],[Row]])-ROW(Recipes[[#Headers],[Row]])</f>
        <v>7</v>
      </c>
      <c r="AN11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1" t="str">
        <f t="array" ref="AO11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2" spans="2:41" x14ac:dyDescent="0.25">
      <c r="B12" s="11" t="s">
        <v>4</v>
      </c>
      <c r="C12" s="11" t="s">
        <v>7</v>
      </c>
      <c r="D12">
        <f>MATCH(Ingredients[[#This Row],[Rarity]],Rarities[Name], 0)</f>
        <v>2</v>
      </c>
      <c r="E12" s="12">
        <v>0.2</v>
      </c>
      <c r="F12" cm="1">
        <f t="array" ref="F12">MROUND(INDEX(Rarities[Cheapest], Ingredients[[#This Row],[Rarity Index]])+Ingredients[[#This Row],[Cost Grade]]*INDEX(Rarities[Cost Range],Ingredients[[#This Row],[Rarity Index]]), 5)</f>
        <v>70</v>
      </c>
      <c r="G12">
        <f>COUNTIF(Recipes[[Item 1]:[Item 3]],Ingredients[[#This Row],[Name]])</f>
        <v>4</v>
      </c>
      <c r="J12" s="11" t="s">
        <v>65</v>
      </c>
      <c r="K12" s="11" t="s">
        <v>7</v>
      </c>
      <c r="L12">
        <f>MATCH(Potions[[#This Row],[Rarity]],Rarities[Name], 0)</f>
        <v>2</v>
      </c>
      <c r="M12">
        <f>COUNTIF(Recipes[Potion], Potions[[#This Row],[Name]])</f>
        <v>1</v>
      </c>
      <c r="N12">
        <f>_xlfn.MINIFS(Recipes[Total Cost],Recipes[Potion],Potions[[#This Row],[Name]])</f>
        <v>140</v>
      </c>
      <c r="O12">
        <f>_xlfn.MAXIFS(Recipes[Total Cost],Recipes[Potion],Potions[[#This Row],[Name]])</f>
        <v>140</v>
      </c>
      <c r="P12" cm="1">
        <f t="array" ref="P12">MROUND(AVERAGE(Potions[[#This Row],[Cheapest]:[Most Expensive]])*INDEX(Rarities[Profit Multiplier], Potions[[#This Row],[Rarity Index]]), 5)</f>
        <v>180</v>
      </c>
      <c r="Q12" s="25">
        <f>(Potions[[#This Row],[Cost]]-Potions[[#This Row],[Cheapest]])/Potions[[#This Row],[Cheapest]]</f>
        <v>0.2857142857142857</v>
      </c>
      <c r="T12" s="4" t="s">
        <v>71</v>
      </c>
      <c r="U12" s="7">
        <f>COUNTIF(Recipes[[#Headers],[Potion]]:Recipes[[#This Row],[Potion]], Recipes[[#This Row],[Potion]])</f>
        <v>2</v>
      </c>
      <c r="V12" s="21" t="s">
        <v>4</v>
      </c>
      <c r="W12" s="21" t="s">
        <v>51</v>
      </c>
      <c r="X12" s="21"/>
      <c r="Y12">
        <f>COUNTA(Recipes[[#This Row],[Item 1]:[Item 3]])</f>
        <v>2</v>
      </c>
      <c r="Z12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12">
        <f>SUM(IFERROR(INDEX(Ingredients[Cost], Recipes[[#This Row],[Index 1]]), 0), IFERROR(INDEX(Ingredients[Cost], Recipes[[#This Row],[Index 2]]), 0), IFERROR(INDEX(Ingredients[Cost], Recipes[[#This Row],[Index 3]]), 0))</f>
        <v>180</v>
      </c>
      <c r="AB12" s="25" cm="1">
        <f t="array" ref="AB12">(INDEX(Potions[Cost], Recipes[[#This Row],[Potion Index]])-Recipes[[#This Row],[Total Cost]])/Recipes[[#This Row],[Total Cost]]</f>
        <v>0.27777777777777779</v>
      </c>
      <c r="AC12">
        <f>MATCH(Recipes[[#This Row],[Potion]],Potions[Name], 0)</f>
        <v>5</v>
      </c>
      <c r="AD12">
        <f>MATCH(Recipes[[#This Row],[Item 1]],Ingredients[Name], 0)</f>
        <v>8</v>
      </c>
      <c r="AE12">
        <f>MATCH(Recipes[[#This Row],[Item 2]],Ingredients[Name], 0)</f>
        <v>10</v>
      </c>
      <c r="AF12" t="e">
        <f>MATCH(Recipes[[#This Row],[Item 3]],Ingredients[Name], 0)</f>
        <v>#N/A</v>
      </c>
      <c r="AG12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H12" cm="1">
        <f t="array" ref="AH12">INDEX(Potions[Rarity Index], Recipes[[#This Row],[Potion Index]])</f>
        <v>2</v>
      </c>
      <c r="AI12">
        <f>(Recipes[[#This Row],[Item 1]]&gt;Recipes[[#This Row],[Item 2]])+(Recipes[[#This Row],[Item 1]]&gt;Recipes[[#This Row],[Item 3]]) + Recipes[[#This Row],[Ingredient Count]]-2</f>
        <v>1</v>
      </c>
      <c r="AJ12">
        <f>(Recipes[[#This Row],[Item 2]]&gt;Recipes[[#This Row],[Item 1]])+(Recipes[[#This Row],[Item 2]]&gt;Recipes[[#This Row],[Item 3]]) + Recipes[[#This Row],[Ingredient Count]]-2</f>
        <v>2</v>
      </c>
      <c r="AK12">
        <f>(Recipes[[#This Row],[Item 3]]&gt;Recipes[[#This Row],[Item 1]])+(Recipes[[#This Row],[Item 3]]&gt;Recipes[[#This Row],[Item 2]]) + Recipes[[#This Row],[Ingredient Count]]-2</f>
        <v>0</v>
      </c>
      <c r="AL12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Dizzyberry + Indigocap</v>
      </c>
      <c r="AM12">
        <f>ROW(Recipes[[#This Row],[Row]])-ROW(Recipes[[#Headers],[Row]])</f>
        <v>8</v>
      </c>
      <c r="AN12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2" t="str" cm="1">
        <f t="array" ref="AO12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3" spans="2:41" x14ac:dyDescent="0.25">
      <c r="B13" s="11" t="s">
        <v>55</v>
      </c>
      <c r="C13" s="11" t="s">
        <v>7</v>
      </c>
      <c r="D13">
        <f>MATCH(Ingredients[[#This Row],[Rarity]],Rarities[Name], 0)</f>
        <v>2</v>
      </c>
      <c r="E13" s="12">
        <v>0.3</v>
      </c>
      <c r="F13" cm="1">
        <f t="array" ref="F13">MROUND(INDEX(Rarities[Cheapest], Ingredients[[#This Row],[Rarity Index]])+Ingredients[[#This Row],[Cost Grade]]*INDEX(Rarities[Cost Range],Ingredients[[#This Row],[Rarity Index]]), 5)</f>
        <v>80</v>
      </c>
      <c r="G13">
        <f>COUNTIF(Recipes[[Item 1]:[Item 3]],Ingredients[[#This Row],[Name]])</f>
        <v>3</v>
      </c>
      <c r="J13" s="11" t="s">
        <v>19</v>
      </c>
      <c r="K13" s="11" t="s">
        <v>8</v>
      </c>
      <c r="L13">
        <f>MATCH(Potions[[#This Row],[Rarity]],Rarities[Name], 0)</f>
        <v>3</v>
      </c>
      <c r="M13">
        <f>COUNTIF(Recipes[Potion], Potions[[#This Row],[Name]])</f>
        <v>2</v>
      </c>
      <c r="N13">
        <f>_xlfn.MINIFS(Recipes[Total Cost],Recipes[Potion],Potions[[#This Row],[Name]])</f>
        <v>335</v>
      </c>
      <c r="O13">
        <f>_xlfn.MAXIFS(Recipes[Total Cost],Recipes[Potion],Potions[[#This Row],[Name]])</f>
        <v>430</v>
      </c>
      <c r="P13" cm="1">
        <f t="array" ref="P13">MROUND(AVERAGE(Potions[[#This Row],[Cheapest]:[Most Expensive]])*INDEX(Rarities[Profit Multiplier], Potions[[#This Row],[Rarity Index]]), 5)</f>
        <v>515</v>
      </c>
      <c r="Q13" s="25">
        <f>(Potions[[#This Row],[Cost]]-Potions[[#This Row],[Cheapest]])/Potions[[#This Row],[Cheapest]]</f>
        <v>0.53731343283582089</v>
      </c>
      <c r="T13" s="4" t="s">
        <v>71</v>
      </c>
      <c r="U13" s="7">
        <f>COUNTIF(Recipes[[#Headers],[Potion]]:Recipes[[#This Row],[Potion]], Recipes[[#This Row],[Potion]])</f>
        <v>3</v>
      </c>
      <c r="V13" s="21" t="s">
        <v>51</v>
      </c>
      <c r="W13" s="21" t="s">
        <v>52</v>
      </c>
      <c r="X13" s="21" t="s">
        <v>47</v>
      </c>
      <c r="Y13">
        <f>COUNTA(Recipes[[#This Row],[Item 1]:[Item 3]])</f>
        <v>3</v>
      </c>
      <c r="Z13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13">
        <f>SUM(IFERROR(INDEX(Ingredients[Cost], Recipes[[#This Row],[Index 1]]), 0), IFERROR(INDEX(Ingredients[Cost], Recipes[[#This Row],[Index 2]]), 0), IFERROR(INDEX(Ingredients[Cost], Recipes[[#This Row],[Index 3]]), 0))</f>
        <v>200</v>
      </c>
      <c r="AB13" s="25" cm="1">
        <f t="array" ref="AB13">(INDEX(Potions[Cost], Recipes[[#This Row],[Potion Index]])-Recipes[[#This Row],[Total Cost]])/Recipes[[#This Row],[Total Cost]]</f>
        <v>0.15</v>
      </c>
      <c r="AC13">
        <f>MATCH(Recipes[[#This Row],[Potion]],Potions[Name], 0)</f>
        <v>5</v>
      </c>
      <c r="AD13">
        <f>MATCH(Recipes[[#This Row],[Item 1]],Ingredients[Name], 0)</f>
        <v>10</v>
      </c>
      <c r="AE13">
        <f>MATCH(Recipes[[#This Row],[Item 2]],Ingredients[Name], 0)</f>
        <v>6</v>
      </c>
      <c r="AF13">
        <f>MATCH(Recipes[[#This Row],[Item 3]],Ingredients[Name], 0)</f>
        <v>7</v>
      </c>
      <c r="AG13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H13" cm="1">
        <f t="array" ref="AH13">INDEX(Potions[Rarity Index], Recipes[[#This Row],[Potion Index]])</f>
        <v>2</v>
      </c>
      <c r="AI13">
        <f>(Recipes[[#This Row],[Item 1]]&gt;Recipes[[#This Row],[Item 2]])+(Recipes[[#This Row],[Item 1]]&gt;Recipes[[#This Row],[Item 3]]) + Recipes[[#This Row],[Ingredient Count]]-2</f>
        <v>1</v>
      </c>
      <c r="AJ13">
        <f>(Recipes[[#This Row],[Item 2]]&gt;Recipes[[#This Row],[Item 1]])+(Recipes[[#This Row],[Item 2]]&gt;Recipes[[#This Row],[Item 3]]) + Recipes[[#This Row],[Ingredient Count]]-2</f>
        <v>3</v>
      </c>
      <c r="AK13">
        <f>(Recipes[[#This Row],[Item 3]]&gt;Recipes[[#This Row],[Item 1]])+(Recipes[[#This Row],[Item 3]]&gt;Recipes[[#This Row],[Item 2]]) + Recipes[[#This Row],[Ingredient Count]]-2</f>
        <v>2</v>
      </c>
      <c r="AL13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Indigocap + Tangleroot + Vitafruit</v>
      </c>
      <c r="AM13">
        <f>ROW(Recipes[[#This Row],[Row]])-ROW(Recipes[[#Headers],[Row]])</f>
        <v>9</v>
      </c>
      <c r="AN13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3" t="str" cm="1">
        <f t="array" ref="AO13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4" spans="2:41" x14ac:dyDescent="0.25">
      <c r="B14" s="11" t="s">
        <v>51</v>
      </c>
      <c r="C14" s="11" t="s">
        <v>7</v>
      </c>
      <c r="D14">
        <f>MATCH(Ingredients[[#This Row],[Rarity]],Rarities[Name], 0)</f>
        <v>2</v>
      </c>
      <c r="E14" s="12">
        <v>0.8</v>
      </c>
      <c r="F14" cm="1">
        <f t="array" ref="F14">MROUND(INDEX(Rarities[Cheapest], Ingredients[[#This Row],[Rarity Index]])+Ingredients[[#This Row],[Cost Grade]]*INDEX(Rarities[Cost Range],Ingredients[[#This Row],[Rarity Index]]), 5)</f>
        <v>110</v>
      </c>
      <c r="G14">
        <f>COUNTIF(Recipes[[Item 1]:[Item 3]],Ingredients[[#This Row],[Name]])</f>
        <v>4</v>
      </c>
      <c r="J14" s="4" t="s">
        <v>63</v>
      </c>
      <c r="K14" s="4" t="s">
        <v>8</v>
      </c>
      <c r="L14">
        <f>MATCH(Potions[[#This Row],[Rarity]],Rarities[Name], 0)</f>
        <v>3</v>
      </c>
      <c r="M14">
        <f>COUNTIF(Recipes[Potion], Potions[[#This Row],[Name]])</f>
        <v>1</v>
      </c>
      <c r="N14">
        <f>_xlfn.MINIFS(Recipes[Total Cost],Recipes[Potion],Potions[[#This Row],[Name]])</f>
        <v>210</v>
      </c>
      <c r="O14">
        <f>_xlfn.MAXIFS(Recipes[Total Cost],Recipes[Potion],Potions[[#This Row],[Name]])</f>
        <v>210</v>
      </c>
      <c r="P14" cm="1">
        <f t="array" ref="P14">MROUND(AVERAGE(Potions[[#This Row],[Cheapest]:[Most Expensive]])*INDEX(Rarities[Profit Multiplier], Potions[[#This Row],[Rarity Index]]), 5)</f>
        <v>285</v>
      </c>
      <c r="Q14" s="25">
        <f>(Potions[[#This Row],[Cost]]-Potions[[#This Row],[Cheapest]])/Potions[[#This Row],[Cheapest]]</f>
        <v>0.35714285714285715</v>
      </c>
      <c r="T14" s="4" t="s">
        <v>70</v>
      </c>
      <c r="U14" s="7">
        <f>COUNTIF(Recipes[[#Headers],[Potion]]:Recipes[[#This Row],[Potion]], Recipes[[#This Row],[Potion]])</f>
        <v>1</v>
      </c>
      <c r="V14" s="21" t="s">
        <v>51</v>
      </c>
      <c r="W14" s="21" t="s">
        <v>0</v>
      </c>
      <c r="X14" s="21" t="s">
        <v>54</v>
      </c>
      <c r="Y14">
        <f>COUNTA(Recipes[[#This Row],[Item 1]:[Item 3]])</f>
        <v>3</v>
      </c>
      <c r="Z14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14">
        <f>SUM(IFERROR(INDEX(Ingredients[Cost], Recipes[[#This Row],[Index 1]]), 0), IFERROR(INDEX(Ingredients[Cost], Recipes[[#This Row],[Index 2]]), 0), IFERROR(INDEX(Ingredients[Cost], Recipes[[#This Row],[Index 3]]), 0))</f>
        <v>175</v>
      </c>
      <c r="AB14" s="25" cm="1">
        <f t="array" ref="AB14">(INDEX(Potions[Cost], Recipes[[#This Row],[Potion Index]])-Recipes[[#This Row],[Total Cost]])/Recipes[[#This Row],[Total Cost]]</f>
        <v>0.31428571428571428</v>
      </c>
      <c r="AC14">
        <f>MATCH(Recipes[[#This Row],[Potion]],Potions[Name], 0)</f>
        <v>6</v>
      </c>
      <c r="AD14">
        <f>MATCH(Recipes[[#This Row],[Item 1]],Ingredients[Name], 0)</f>
        <v>10</v>
      </c>
      <c r="AE14">
        <f>MATCH(Recipes[[#This Row],[Item 2]],Ingredients[Name], 0)</f>
        <v>5</v>
      </c>
      <c r="AF14">
        <f>MATCH(Recipes[[#This Row],[Item 3]],Ingredients[Name], 0)</f>
        <v>3</v>
      </c>
      <c r="AG14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H14" cm="1">
        <f t="array" ref="AH14">INDEX(Potions[Rarity Index], Recipes[[#This Row],[Potion Index]])</f>
        <v>2</v>
      </c>
      <c r="AI14">
        <f>(Recipes[[#This Row],[Item 1]]&gt;Recipes[[#This Row],[Item 2]])+(Recipes[[#This Row],[Item 1]]&gt;Recipes[[#This Row],[Item 3]]) + Recipes[[#This Row],[Ingredient Count]]-2</f>
        <v>3</v>
      </c>
      <c r="AJ14">
        <f>(Recipes[[#This Row],[Item 2]]&gt;Recipes[[#This Row],[Item 1]])+(Recipes[[#This Row],[Item 2]]&gt;Recipes[[#This Row],[Item 3]]) + Recipes[[#This Row],[Ingredient Count]]-2</f>
        <v>2</v>
      </c>
      <c r="AK14">
        <f>(Recipes[[#This Row],[Item 3]]&gt;Recipes[[#This Row],[Item 1]])+(Recipes[[#This Row],[Item 3]]&gt;Recipes[[#This Row],[Item 2]]) + Recipes[[#This Row],[Ingredient Count]]-2</f>
        <v>1</v>
      </c>
      <c r="AL14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Crawler Grub + Frog's Breath + Indigocap</v>
      </c>
      <c r="AM14">
        <f>ROW(Recipes[[#This Row],[Row]])-ROW(Recipes[[#Headers],[Row]])</f>
        <v>10</v>
      </c>
      <c r="AN14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4" t="str" cm="1">
        <f t="array" ref="AO14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5" spans="2:41" x14ac:dyDescent="0.25">
      <c r="B15" s="11" t="s">
        <v>1</v>
      </c>
      <c r="C15" s="11" t="s">
        <v>8</v>
      </c>
      <c r="D15">
        <f>MATCH(Ingredients[[#This Row],[Rarity]],Rarities[Name], 0)</f>
        <v>3</v>
      </c>
      <c r="E15" s="12">
        <v>0.1</v>
      </c>
      <c r="F15" cm="1">
        <f t="array" ref="F15">MROUND(INDEX(Rarities[Cheapest], Ingredients[[#This Row],[Rarity Index]])+Ingredients[[#This Row],[Cost Grade]]*INDEX(Rarities[Cost Range],Ingredients[[#This Row],[Rarity Index]]), 5)</f>
        <v>120</v>
      </c>
      <c r="G15">
        <f>COUNTIF(Recipes[[Item 1]:[Item 3]],Ingredients[[#This Row],[Name]])</f>
        <v>2</v>
      </c>
      <c r="J15" s="11" t="s">
        <v>31</v>
      </c>
      <c r="K15" s="11" t="s">
        <v>8</v>
      </c>
      <c r="L15">
        <f>MATCH(Potions[[#This Row],[Rarity]],Rarities[Name], 0)</f>
        <v>3</v>
      </c>
      <c r="M15">
        <f>COUNTIF(Recipes[Potion], Potions[[#This Row],[Name]])</f>
        <v>1</v>
      </c>
      <c r="N15">
        <f>_xlfn.MINIFS(Recipes[Total Cost],Recipes[Potion],Potions[[#This Row],[Name]])</f>
        <v>245</v>
      </c>
      <c r="O15">
        <f>_xlfn.MAXIFS(Recipes[Total Cost],Recipes[Potion],Potions[[#This Row],[Name]])</f>
        <v>245</v>
      </c>
      <c r="P15" cm="1">
        <f t="array" ref="P15">MROUND(AVERAGE(Potions[[#This Row],[Cheapest]:[Most Expensive]])*INDEX(Rarities[Profit Multiplier], Potions[[#This Row],[Rarity Index]]), 5)</f>
        <v>330</v>
      </c>
      <c r="Q15" s="25">
        <f>(Potions[[#This Row],[Cost]]-Potions[[#This Row],[Cheapest]])/Potions[[#This Row],[Cheapest]]</f>
        <v>0.34693877551020408</v>
      </c>
      <c r="T15" s="4" t="s">
        <v>18</v>
      </c>
      <c r="U15" s="7">
        <f>COUNTIF(Recipes[[#Headers],[Potion]]:Recipes[[#This Row],[Potion]], Recipes[[#This Row],[Potion]])</f>
        <v>1</v>
      </c>
      <c r="V15" s="21" t="s">
        <v>1</v>
      </c>
      <c r="W15" s="21" t="s">
        <v>5</v>
      </c>
      <c r="X15" s="21"/>
      <c r="Y15">
        <f>COUNTA(Recipes[[#This Row],[Item 1]:[Item 3]])</f>
        <v>2</v>
      </c>
      <c r="Z15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A15">
        <f>SUM(IFERROR(INDEX(Ingredients[Cost], Recipes[[#This Row],[Index 1]]), 0), IFERROR(INDEX(Ingredients[Cost], Recipes[[#This Row],[Index 2]]), 0), IFERROR(INDEX(Ingredients[Cost], Recipes[[#This Row],[Index 3]]), 0))</f>
        <v>150</v>
      </c>
      <c r="AB15" s="25" cm="1">
        <f t="array" ref="AB15">(INDEX(Potions[Cost], Recipes[[#This Row],[Potion Index]])-Recipes[[#This Row],[Total Cost]])/Recipes[[#This Row],[Total Cost]]</f>
        <v>0.3</v>
      </c>
      <c r="AC15">
        <f>MATCH(Recipes[[#This Row],[Potion]],Potions[Name], 0)</f>
        <v>7</v>
      </c>
      <c r="AD15">
        <f>MATCH(Recipes[[#This Row],[Item 1]],Ingredients[Name], 0)</f>
        <v>11</v>
      </c>
      <c r="AE15">
        <f>MATCH(Recipes[[#This Row],[Item 2]],Ingredients[Name], 0)</f>
        <v>4</v>
      </c>
      <c r="AF15" t="e">
        <f>MATCH(Recipes[[#This Row],[Item 3]],Ingredients[Name], 0)</f>
        <v>#N/A</v>
      </c>
      <c r="AG15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3</v>
      </c>
      <c r="AH15" cm="1">
        <f t="array" ref="AH15">INDEX(Potions[Rarity Index], Recipes[[#This Row],[Potion Index]])</f>
        <v>2</v>
      </c>
      <c r="AI15">
        <f>(Recipes[[#This Row],[Item 1]]&gt;Recipes[[#This Row],[Item 2]])+(Recipes[[#This Row],[Item 1]]&gt;Recipes[[#This Row],[Item 3]]) + Recipes[[#This Row],[Ingredient Count]]-2</f>
        <v>1</v>
      </c>
      <c r="AJ15">
        <f>(Recipes[[#This Row],[Item 2]]&gt;Recipes[[#This Row],[Item 1]])+(Recipes[[#This Row],[Item 2]]&gt;Recipes[[#This Row],[Item 3]]) + Recipes[[#This Row],[Ingredient Count]]-2</f>
        <v>2</v>
      </c>
      <c r="AK15">
        <f>(Recipes[[#This Row],[Item 3]]&gt;Recipes[[#This Row],[Item 1]])+(Recipes[[#This Row],[Item 3]]&gt;Recipes[[#This Row],[Item 2]]) + Recipes[[#This Row],[Ingredient Count]]-2</f>
        <v>0</v>
      </c>
      <c r="AL15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Frostweed + Morning Dew</v>
      </c>
      <c r="AM15">
        <f>ROW(Recipes[[#This Row],[Row]])-ROW(Recipes[[#Headers],[Row]])</f>
        <v>11</v>
      </c>
      <c r="AN15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5" t="str" cm="1">
        <f t="array" ref="AO15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6" spans="2:41" x14ac:dyDescent="0.25">
      <c r="B16" s="11" t="s">
        <v>3</v>
      </c>
      <c r="C16" s="11" t="s">
        <v>8</v>
      </c>
      <c r="D16">
        <f>MATCH(Ingredients[[#This Row],[Rarity]],Rarities[Name], 0)</f>
        <v>3</v>
      </c>
      <c r="E16" s="12">
        <v>0.4</v>
      </c>
      <c r="F16" cm="1">
        <f t="array" ref="F16">MROUND(INDEX(Rarities[Cheapest], Ingredients[[#This Row],[Rarity Index]])+Ingredients[[#This Row],[Cost Grade]]*INDEX(Rarities[Cost Range],Ingredients[[#This Row],[Rarity Index]]), 5)</f>
        <v>145</v>
      </c>
      <c r="G16">
        <f>COUNTIF(Recipes[[Item 1]:[Item 3]],Ingredients[[#This Row],[Name]])</f>
        <v>2</v>
      </c>
      <c r="J16" s="4" t="s">
        <v>17</v>
      </c>
      <c r="K16" s="4" t="s">
        <v>10</v>
      </c>
      <c r="L16">
        <f>MATCH(Potions[[#This Row],[Rarity]],Rarities[Name], 0)</f>
        <v>4</v>
      </c>
      <c r="M16">
        <f>COUNTIF(Recipes[Potion], Potions[[#This Row],[Name]])</f>
        <v>2</v>
      </c>
      <c r="N16">
        <f>_xlfn.MINIFS(Recipes[Total Cost],Recipes[Potion],Potions[[#This Row],[Name]])</f>
        <v>420</v>
      </c>
      <c r="O16">
        <f>_xlfn.MAXIFS(Recipes[Total Cost],Recipes[Potion],Potions[[#This Row],[Name]])</f>
        <v>520</v>
      </c>
      <c r="P16" cm="1">
        <f t="array" ref="P16">MROUND(AVERAGE(Potions[[#This Row],[Cheapest]:[Most Expensive]])*INDEX(Rarities[Profit Multiplier], Potions[[#This Row],[Rarity Index]]), 5)</f>
        <v>660</v>
      </c>
      <c r="Q16" s="25">
        <f>(Potions[[#This Row],[Cost]]-Potions[[#This Row],[Cheapest]])/Potions[[#This Row],[Cheapest]]</f>
        <v>0.5714285714285714</v>
      </c>
      <c r="T16" s="4" t="s">
        <v>65</v>
      </c>
      <c r="U16" s="7">
        <f>COUNTIF(Recipes[[#Headers],[Potion]]:Recipes[[#This Row],[Potion]], Recipes[[#This Row],[Potion]])</f>
        <v>1</v>
      </c>
      <c r="V16" s="21" t="s">
        <v>51</v>
      </c>
      <c r="W16" s="21" t="s">
        <v>53</v>
      </c>
      <c r="X16" s="21"/>
      <c r="Y16">
        <f>COUNTA(Recipes[[#This Row],[Item 1]:[Item 3]])</f>
        <v>2</v>
      </c>
      <c r="Z16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16">
        <f>SUM(IFERROR(INDEX(Ingredients[Cost], Recipes[[#This Row],[Index 1]]), 0), IFERROR(INDEX(Ingredients[Cost], Recipes[[#This Row],[Index 2]]), 0), IFERROR(INDEX(Ingredients[Cost], Recipes[[#This Row],[Index 3]]), 0))</f>
        <v>140</v>
      </c>
      <c r="AB16" s="25" cm="1">
        <f t="array" ref="AB16">(INDEX(Potions[Cost], Recipes[[#This Row],[Potion Index]])-Recipes[[#This Row],[Total Cost]])/Recipes[[#This Row],[Total Cost]]</f>
        <v>0.2857142857142857</v>
      </c>
      <c r="AC16">
        <f>MATCH(Recipes[[#This Row],[Potion]],Potions[Name], 0)</f>
        <v>8</v>
      </c>
      <c r="AD16">
        <f>MATCH(Recipes[[#This Row],[Item 1]],Ingredients[Name], 0)</f>
        <v>10</v>
      </c>
      <c r="AE16">
        <f>MATCH(Recipes[[#This Row],[Item 2]],Ingredients[Name], 0)</f>
        <v>1</v>
      </c>
      <c r="AF16" t="e">
        <f>MATCH(Recipes[[#This Row],[Item 3]],Ingredients[Name], 0)</f>
        <v>#N/A</v>
      </c>
      <c r="AG16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2</v>
      </c>
      <c r="AH16" cm="1">
        <f t="array" ref="AH16">INDEX(Potions[Rarity Index], Recipes[[#This Row],[Potion Index]])</f>
        <v>2</v>
      </c>
      <c r="AI16">
        <f>(Recipes[[#This Row],[Item 1]]&gt;Recipes[[#This Row],[Item 2]])+(Recipes[[#This Row],[Item 1]]&gt;Recipes[[#This Row],[Item 3]]) + Recipes[[#This Row],[Ingredient Count]]-2</f>
        <v>1</v>
      </c>
      <c r="AJ16">
        <f>(Recipes[[#This Row],[Item 2]]&gt;Recipes[[#This Row],[Item 1]])+(Recipes[[#This Row],[Item 2]]&gt;Recipes[[#This Row],[Item 3]]) + Recipes[[#This Row],[Ingredient Count]]-2</f>
        <v>2</v>
      </c>
      <c r="AK16">
        <f>(Recipes[[#This Row],[Item 3]]&gt;Recipes[[#This Row],[Item 1]])+(Recipes[[#This Row],[Item 3]]&gt;Recipes[[#This Row],[Item 2]]) + Recipes[[#This Row],[Ingredient Count]]-2</f>
        <v>0</v>
      </c>
      <c r="AL16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Indigocap + Monster Blood</v>
      </c>
      <c r="AM16">
        <f>ROW(Recipes[[#This Row],[Row]])-ROW(Recipes[[#Headers],[Row]])</f>
        <v>12</v>
      </c>
      <c r="AN16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6" t="str" cm="1">
        <f t="array" ref="AO16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7" spans="2:42" x14ac:dyDescent="0.25">
      <c r="B17" s="11" t="s">
        <v>48</v>
      </c>
      <c r="C17" s="11" t="s">
        <v>8</v>
      </c>
      <c r="D17">
        <f>MATCH(Ingredients[[#This Row],[Rarity]],Rarities[Name], 0)</f>
        <v>3</v>
      </c>
      <c r="E17" s="12">
        <v>0.8</v>
      </c>
      <c r="F17" cm="1">
        <f t="array" ref="F17">MROUND(INDEX(Rarities[Cheapest], Ingredients[[#This Row],[Rarity Index]])+Ingredients[[#This Row],[Cost Grade]]*INDEX(Rarities[Cost Range],Ingredients[[#This Row],[Rarity Index]]), 5)</f>
        <v>180</v>
      </c>
      <c r="G17">
        <f>COUNTIF(Recipes[[Item 1]:[Item 3]],Ingredients[[#This Row],[Name]])</f>
        <v>2</v>
      </c>
      <c r="J17" s="4" t="s">
        <v>96</v>
      </c>
      <c r="K17" s="4" t="s">
        <v>35</v>
      </c>
      <c r="L17" s="39">
        <f>MATCH(Potions[[#This Row],[Rarity]],Rarities[Name], 0)</f>
        <v>5</v>
      </c>
      <c r="M17" s="39">
        <f>COUNTIF(Recipes[Potion], Potions[[#This Row],[Name]])</f>
        <v>1</v>
      </c>
      <c r="N17" s="39">
        <f>_xlfn.MINIFS(Recipes[Total Cost],Recipes[Potion],Potions[[#This Row],[Name]])</f>
        <v>960</v>
      </c>
      <c r="O17" s="39">
        <f>_xlfn.MAXIFS(Recipes[Total Cost],Recipes[Potion],Potions[[#This Row],[Name]])</f>
        <v>960</v>
      </c>
      <c r="P17" s="39" cm="1">
        <f t="array" ref="P17">MROUND(AVERAGE(Potions[[#This Row],[Cheapest]:[Most Expensive]])*INDEX(Rarities[Profit Multiplier], Potions[[#This Row],[Rarity Index]]), 5)</f>
        <v>1345</v>
      </c>
      <c r="Q17" s="25">
        <f>(Potions[[#This Row],[Cost]]-Potions[[#This Row],[Cheapest]])/Potions[[#This Row],[Cheapest]]</f>
        <v>0.40104166666666669</v>
      </c>
      <c r="T17" s="4" t="s">
        <v>19</v>
      </c>
      <c r="U17" s="7">
        <f>COUNTIF(Recipes[[#Headers],[Potion]]:Recipes[[#This Row],[Potion]], Recipes[[#This Row],[Potion]])</f>
        <v>1</v>
      </c>
      <c r="V17" s="21" t="s">
        <v>50</v>
      </c>
      <c r="W17" s="21" t="s">
        <v>55</v>
      </c>
      <c r="X17" s="21" t="s">
        <v>0</v>
      </c>
      <c r="Y17">
        <f>COUNTA(Recipes[[#This Row],[Item 1]:[Item 3]])</f>
        <v>3</v>
      </c>
      <c r="Z17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A17">
        <f>SUM(IFERROR(INDEX(Ingredients[Cost], Recipes[[#This Row],[Index 1]]), 0), IFERROR(INDEX(Ingredients[Cost], Recipes[[#This Row],[Index 2]]), 0), IFERROR(INDEX(Ingredients[Cost], Recipes[[#This Row],[Index 3]]), 0))</f>
        <v>335</v>
      </c>
      <c r="AB17" s="25" cm="1">
        <f t="array" ref="AB17">(INDEX(Potions[Cost], Recipes[[#This Row],[Potion Index]])-Recipes[[#This Row],[Total Cost]])/Recipes[[#This Row],[Total Cost]]</f>
        <v>0.53731343283582089</v>
      </c>
      <c r="AC17">
        <f>MATCH(Recipes[[#This Row],[Potion]],Potions[Name], 0)</f>
        <v>9</v>
      </c>
      <c r="AD17">
        <f>MATCH(Recipes[[#This Row],[Item 1]],Ingredients[Name], 0)</f>
        <v>14</v>
      </c>
      <c r="AE17">
        <f>MATCH(Recipes[[#This Row],[Item 2]],Ingredients[Name], 0)</f>
        <v>9</v>
      </c>
      <c r="AF17">
        <f>MATCH(Recipes[[#This Row],[Item 3]],Ingredients[Name], 0)</f>
        <v>5</v>
      </c>
      <c r="AG17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4</v>
      </c>
      <c r="AH17" cm="1">
        <f t="array" ref="AH17">INDEX(Potions[Rarity Index], Recipes[[#This Row],[Potion Index]])</f>
        <v>3</v>
      </c>
      <c r="AI17">
        <f>(Recipes[[#This Row],[Item 1]]&gt;Recipes[[#This Row],[Item 2]])+(Recipes[[#This Row],[Item 1]]&gt;Recipes[[#This Row],[Item 3]]) + Recipes[[#This Row],[Ingredient Count]]-2</f>
        <v>3</v>
      </c>
      <c r="AJ17">
        <f>(Recipes[[#This Row],[Item 2]]&gt;Recipes[[#This Row],[Item 1]])+(Recipes[[#This Row],[Item 2]]&gt;Recipes[[#This Row],[Item 3]]) + Recipes[[#This Row],[Ingredient Count]]-2</f>
        <v>1</v>
      </c>
      <c r="AK17">
        <f>(Recipes[[#This Row],[Item 3]]&gt;Recipes[[#This Row],[Item 1]])+(Recipes[[#This Row],[Item 3]]&gt;Recipes[[#This Row],[Item 2]]) + Recipes[[#This Row],[Ingredient Count]]-2</f>
        <v>2</v>
      </c>
      <c r="AL17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Frog's Breath + Magicite + Amber</v>
      </c>
      <c r="AM17">
        <f>ROW(Recipes[[#This Row],[Row]])-ROW(Recipes[[#Headers],[Row]])</f>
        <v>13</v>
      </c>
      <c r="AN17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7" t="str" cm="1">
        <f t="array" ref="AO17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8" spans="2:42" x14ac:dyDescent="0.25">
      <c r="B18" s="11" t="s">
        <v>50</v>
      </c>
      <c r="C18" s="11" t="s">
        <v>10</v>
      </c>
      <c r="D18">
        <f>MATCH(Ingredients[[#This Row],[Rarity]],Rarities[Name], 0)</f>
        <v>4</v>
      </c>
      <c r="E18" s="12">
        <v>0</v>
      </c>
      <c r="F18" cm="1">
        <f t="array" ref="F18">MROUND(INDEX(Rarities[Cheapest], Ingredients[[#This Row],[Rarity Index]])+Ingredients[[#This Row],[Cost Grade]]*INDEX(Rarities[Cost Range],Ingredients[[#This Row],[Rarity Index]]), 5)</f>
        <v>220</v>
      </c>
      <c r="G18">
        <f>COUNTIF(Recipes[[Item 1]:[Item 3]],Ingredients[[#This Row],[Name]])</f>
        <v>2</v>
      </c>
      <c r="J18" s="26">
        <f>SUBTOTAL(103,Potions[Name])</f>
        <v>13</v>
      </c>
      <c r="K18" s="26"/>
      <c r="M18">
        <f>SUBTOTAL(101,Potions[Recipes])</f>
        <v>1.4615384615384615</v>
      </c>
      <c r="P18" s="31">
        <f>SUBTOTAL(101,Potions[Cost])</f>
        <v>337.30769230769232</v>
      </c>
      <c r="Q18" s="27">
        <f>SUBTOTAL(101,Potions[Max Profit])</f>
        <v>0.35950673275433409</v>
      </c>
      <c r="T18" s="4" t="s">
        <v>19</v>
      </c>
      <c r="U18" s="7">
        <f>COUNTIF(Recipes[[#Headers],[Potion]]:Recipes[[#This Row],[Potion]], Recipes[[#This Row],[Potion]])</f>
        <v>2</v>
      </c>
      <c r="V18" s="21" t="s">
        <v>50</v>
      </c>
      <c r="W18" s="21" t="s">
        <v>48</v>
      </c>
      <c r="X18" s="21" t="s">
        <v>49</v>
      </c>
      <c r="Y18">
        <f>COUNTA(Recipes[[#This Row],[Item 1]:[Item 3]])</f>
        <v>3</v>
      </c>
      <c r="Z18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Elevated</v>
      </c>
      <c r="AA18">
        <f>SUM(IFERROR(INDEX(Ingredients[Cost], Recipes[[#This Row],[Index 1]]), 0), IFERROR(INDEX(Ingredients[Cost], Recipes[[#This Row],[Index 2]]), 0), IFERROR(INDEX(Ingredients[Cost], Recipes[[#This Row],[Index 3]]), 0))</f>
        <v>430</v>
      </c>
      <c r="AB18" s="25" cm="1">
        <f t="array" ref="AB18">(INDEX(Potions[Cost], Recipes[[#This Row],[Potion Index]])-Recipes[[#This Row],[Total Cost]])/Recipes[[#This Row],[Total Cost]]</f>
        <v>0.19767441860465115</v>
      </c>
      <c r="AC18">
        <f>MATCH(Recipes[[#This Row],[Potion]],Potions[Name], 0)</f>
        <v>9</v>
      </c>
      <c r="AD18">
        <f>MATCH(Recipes[[#This Row],[Item 1]],Ingredients[Name], 0)</f>
        <v>14</v>
      </c>
      <c r="AE18">
        <f>MATCH(Recipes[[#This Row],[Item 2]],Ingredients[Name], 0)</f>
        <v>13</v>
      </c>
      <c r="AF18">
        <f>MATCH(Recipes[[#This Row],[Item 3]],Ingredients[Name], 0)</f>
        <v>2</v>
      </c>
      <c r="AG18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4</v>
      </c>
      <c r="AH18" cm="1">
        <f t="array" ref="AH18">INDEX(Potions[Rarity Index], Recipes[[#This Row],[Potion Index]])</f>
        <v>3</v>
      </c>
      <c r="AI18">
        <f>(Recipes[[#This Row],[Item 1]]&gt;Recipes[[#This Row],[Item 2]])+(Recipes[[#This Row],[Item 1]]&gt;Recipes[[#This Row],[Item 3]]) + Recipes[[#This Row],[Ingredient Count]]-2</f>
        <v>2</v>
      </c>
      <c r="AJ18">
        <f>(Recipes[[#This Row],[Item 2]]&gt;Recipes[[#This Row],[Item 1]])+(Recipes[[#This Row],[Item 2]]&gt;Recipes[[#This Row],[Item 3]]) + Recipes[[#This Row],[Ingredient Count]]-2</f>
        <v>1</v>
      </c>
      <c r="AK18">
        <f>(Recipes[[#This Row],[Item 3]]&gt;Recipes[[#This Row],[Item 1]])+(Recipes[[#This Row],[Item 3]]&gt;Recipes[[#This Row],[Item 2]]) + Recipes[[#This Row],[Ingredient Count]]-2</f>
        <v>3</v>
      </c>
      <c r="AL18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Emerald Dust + Magicite + Noxious Slime</v>
      </c>
      <c r="AM18">
        <f>ROW(Recipes[[#This Row],[Row]])-ROW(Recipes[[#Headers],[Row]])</f>
        <v>14</v>
      </c>
      <c r="AN18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8" t="str" cm="1">
        <f t="array" ref="AO18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19" spans="2:42" x14ac:dyDescent="0.25">
      <c r="B19" s="11" t="s">
        <v>61</v>
      </c>
      <c r="C19" s="11" t="s">
        <v>10</v>
      </c>
      <c r="D19">
        <f>MATCH(Ingredients[[#This Row],[Rarity]],Rarities[Name], 0)</f>
        <v>4</v>
      </c>
      <c r="E19" s="12">
        <v>0.5</v>
      </c>
      <c r="F19" cm="1">
        <f t="array" ref="F19">MROUND(INDEX(Rarities[Cheapest], Ingredients[[#This Row],[Rarity Index]])+Ingredients[[#This Row],[Cost Grade]]*INDEX(Rarities[Cost Range],Ingredients[[#This Row],[Rarity Index]]), 5)</f>
        <v>310</v>
      </c>
      <c r="G19">
        <f>COUNTIF(Recipes[[Item 1]:[Item 3]],Ingredients[[#This Row],[Name]])</f>
        <v>2</v>
      </c>
      <c r="J19" s="5" t="s">
        <v>92</v>
      </c>
      <c r="M19" t="s">
        <v>91</v>
      </c>
      <c r="T19" s="4" t="s">
        <v>63</v>
      </c>
      <c r="U19" s="7">
        <f>COUNTIF(Recipes[[#Headers],[Potion]]:Recipes[[#This Row],[Potion]], Recipes[[#This Row],[Potion]])</f>
        <v>1</v>
      </c>
      <c r="V19" s="21" t="s">
        <v>3</v>
      </c>
      <c r="W19" s="21" t="s">
        <v>0</v>
      </c>
      <c r="X19" s="21" t="s">
        <v>53</v>
      </c>
      <c r="Y19">
        <f>COUNTA(Recipes[[#This Row],[Item 1]:[Item 3]])</f>
        <v>3</v>
      </c>
      <c r="Z19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19">
        <f>SUM(IFERROR(INDEX(Ingredients[Cost], Recipes[[#This Row],[Index 1]]), 0), IFERROR(INDEX(Ingredients[Cost], Recipes[[#This Row],[Index 2]]), 0), IFERROR(INDEX(Ingredients[Cost], Recipes[[#This Row],[Index 3]]), 0))</f>
        <v>210</v>
      </c>
      <c r="AB19" s="25" cm="1">
        <f t="array" ref="AB19">(INDEX(Potions[Cost], Recipes[[#This Row],[Potion Index]])-Recipes[[#This Row],[Total Cost]])/Recipes[[#This Row],[Total Cost]]</f>
        <v>0.35714285714285715</v>
      </c>
      <c r="AC19">
        <f>MATCH(Recipes[[#This Row],[Potion]],Potions[Name], 0)</f>
        <v>10</v>
      </c>
      <c r="AD19">
        <f>MATCH(Recipes[[#This Row],[Item 1]],Ingredients[Name], 0)</f>
        <v>12</v>
      </c>
      <c r="AE19">
        <f>MATCH(Recipes[[#This Row],[Item 2]],Ingredients[Name], 0)</f>
        <v>5</v>
      </c>
      <c r="AF19">
        <f>MATCH(Recipes[[#This Row],[Item 3]],Ingredients[Name], 0)</f>
        <v>1</v>
      </c>
      <c r="AG19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3</v>
      </c>
      <c r="AH19" cm="1">
        <f t="array" ref="AH19">INDEX(Potions[Rarity Index], Recipes[[#This Row],[Potion Index]])</f>
        <v>3</v>
      </c>
      <c r="AI19">
        <f>(Recipes[[#This Row],[Item 1]]&gt;Recipes[[#This Row],[Item 2]])+(Recipes[[#This Row],[Item 1]]&gt;Recipes[[#This Row],[Item 3]]) + Recipes[[#This Row],[Ingredient Count]]-2</f>
        <v>2</v>
      </c>
      <c r="AJ19">
        <f>(Recipes[[#This Row],[Item 2]]&gt;Recipes[[#This Row],[Item 1]])+(Recipes[[#This Row],[Item 2]]&gt;Recipes[[#This Row],[Item 3]]) + Recipes[[#This Row],[Ingredient Count]]-2</f>
        <v>1</v>
      </c>
      <c r="AK19">
        <f>(Recipes[[#This Row],[Item 3]]&gt;Recipes[[#This Row],[Item 1]])+(Recipes[[#This Row],[Item 3]]&gt;Recipes[[#This Row],[Item 2]]) + Recipes[[#This Row],[Ingredient Count]]-2</f>
        <v>3</v>
      </c>
      <c r="AL19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Frog's Breath + Mandrake + Monster Blood</v>
      </c>
      <c r="AM19">
        <f>ROW(Recipes[[#This Row],[Row]])-ROW(Recipes[[#Headers],[Row]])</f>
        <v>15</v>
      </c>
      <c r="AN19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19" t="str" cm="1">
        <f t="array" ref="AO19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20" spans="2:42" x14ac:dyDescent="0.25">
      <c r="B20" s="4" t="s">
        <v>95</v>
      </c>
      <c r="C20" s="4" t="s">
        <v>35</v>
      </c>
      <c r="D20">
        <f>MATCH(Ingredients[[#This Row],[Rarity]],Rarities[Name], 0)</f>
        <v>5</v>
      </c>
      <c r="E20" s="6">
        <v>0.1</v>
      </c>
      <c r="F20" cm="1">
        <f t="array" ref="F20">MROUND(INDEX(Rarities[Cheapest], Ingredients[[#This Row],[Rarity Index]])+Ingredients[[#This Row],[Cost Grade]]*INDEX(Rarities[Cost Range],Ingredients[[#This Row],[Rarity Index]]), 5)</f>
        <v>415</v>
      </c>
      <c r="G20">
        <f>COUNTIF(Recipes[[Item 1]:[Item 3]],Ingredients[[#This Row],[Name]])</f>
        <v>1</v>
      </c>
      <c r="T20" s="4" t="s">
        <v>31</v>
      </c>
      <c r="U20" s="7">
        <f>COUNTIF(Recipes[[#Headers],[Potion]]:Recipes[[#This Row],[Potion]], Recipes[[#This Row],[Potion]])</f>
        <v>1</v>
      </c>
      <c r="V20" s="21" t="s">
        <v>3</v>
      </c>
      <c r="W20" s="21" t="s">
        <v>4</v>
      </c>
      <c r="X20" s="21" t="s">
        <v>5</v>
      </c>
      <c r="Y20">
        <f>COUNTA(Recipes[[#This Row],[Item 1]:[Item 3]])</f>
        <v>3</v>
      </c>
      <c r="Z20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20">
        <f>SUM(IFERROR(INDEX(Ingredients[Cost], Recipes[[#This Row],[Index 1]]), 0), IFERROR(INDEX(Ingredients[Cost], Recipes[[#This Row],[Index 2]]), 0), IFERROR(INDEX(Ingredients[Cost], Recipes[[#This Row],[Index 3]]), 0))</f>
        <v>245</v>
      </c>
      <c r="AB20" s="25" cm="1">
        <f t="array" ref="AB20">(INDEX(Potions[Cost], Recipes[[#This Row],[Potion Index]])-Recipes[[#This Row],[Total Cost]])/Recipes[[#This Row],[Total Cost]]</f>
        <v>0.34693877551020408</v>
      </c>
      <c r="AC20">
        <f>MATCH(Recipes[[#This Row],[Potion]],Potions[Name], 0)</f>
        <v>11</v>
      </c>
      <c r="AD20">
        <f>MATCH(Recipes[[#This Row],[Item 1]],Ingredients[Name], 0)</f>
        <v>12</v>
      </c>
      <c r="AE20">
        <f>MATCH(Recipes[[#This Row],[Item 2]],Ingredients[Name], 0)</f>
        <v>8</v>
      </c>
      <c r="AF20">
        <f>MATCH(Recipes[[#This Row],[Item 3]],Ingredients[Name], 0)</f>
        <v>4</v>
      </c>
      <c r="AG20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3</v>
      </c>
      <c r="AH20" cm="1">
        <f t="array" ref="AH20">INDEX(Potions[Rarity Index], Recipes[[#This Row],[Potion Index]])</f>
        <v>3</v>
      </c>
      <c r="AI20">
        <f>(Recipes[[#This Row],[Item 1]]&gt;Recipes[[#This Row],[Item 2]])+(Recipes[[#This Row],[Item 1]]&gt;Recipes[[#This Row],[Item 3]]) + Recipes[[#This Row],[Ingredient Count]]-2</f>
        <v>2</v>
      </c>
      <c r="AJ20">
        <f>(Recipes[[#This Row],[Item 2]]&gt;Recipes[[#This Row],[Item 1]])+(Recipes[[#This Row],[Item 2]]&gt;Recipes[[#This Row],[Item 3]]) + Recipes[[#This Row],[Ingredient Count]]-2</f>
        <v>1</v>
      </c>
      <c r="AK20">
        <f>(Recipes[[#This Row],[Item 3]]&gt;Recipes[[#This Row],[Item 1]])+(Recipes[[#This Row],[Item 3]]&gt;Recipes[[#This Row],[Item 2]]) + Recipes[[#This Row],[Ingredient Count]]-2</f>
        <v>3</v>
      </c>
      <c r="AL20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Dizzyberry + Mandrake + Morning Dew</v>
      </c>
      <c r="AM20">
        <f>ROW(Recipes[[#This Row],[Row]])-ROW(Recipes[[#Headers],[Row]])</f>
        <v>16</v>
      </c>
      <c r="AN20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20" t="str" cm="1">
        <f t="array" ref="AO20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21" spans="2:42" x14ac:dyDescent="0.25">
      <c r="B21" s="4" t="s">
        <v>9</v>
      </c>
      <c r="C21" s="4" t="s">
        <v>35</v>
      </c>
      <c r="D21" s="4">
        <f>MATCH(Ingredients[[#This Row],[Rarity]],Rarities[Name], 0)</f>
        <v>5</v>
      </c>
      <c r="E21" s="6">
        <v>0.3</v>
      </c>
      <c r="F21" cm="1">
        <f t="array" ref="F21">MROUND(INDEX(Rarities[Cheapest], Ingredients[[#This Row],[Rarity Index]])+Ingredients[[#This Row],[Cost Grade]]*INDEX(Rarities[Cost Range],Ingredients[[#This Row],[Rarity Index]]), 5)</f>
        <v>545</v>
      </c>
      <c r="G21">
        <f>COUNTIF(Recipes[[Item 1]:[Item 3]],Ingredients[[#This Row],[Name]])</f>
        <v>1</v>
      </c>
      <c r="T21" s="4" t="s">
        <v>17</v>
      </c>
      <c r="U21" s="7">
        <f>COUNTIF(Recipes[[#Headers],[Potion]]:Recipes[[#This Row],[Potion]], Recipes[[#This Row],[Potion]])</f>
        <v>1</v>
      </c>
      <c r="V21" s="21" t="s">
        <v>61</v>
      </c>
      <c r="W21" s="21" t="s">
        <v>55</v>
      </c>
      <c r="X21" s="21" t="s">
        <v>5</v>
      </c>
      <c r="Y21">
        <f>COUNTA(Recipes[[#This Row],[Item 1]:[Item 3]])</f>
        <v>3</v>
      </c>
      <c r="Z21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21">
        <f>SUM(IFERROR(INDEX(Ingredients[Cost], Recipes[[#This Row],[Index 1]]), 0), IFERROR(INDEX(Ingredients[Cost], Recipes[[#This Row],[Index 2]]), 0), IFERROR(INDEX(Ingredients[Cost], Recipes[[#This Row],[Index 3]]), 0))</f>
        <v>420</v>
      </c>
      <c r="AB21" s="25" cm="1">
        <f t="array" ref="AB21">(INDEX(Potions[Cost], Recipes[[#This Row],[Potion Index]])-Recipes[[#This Row],[Total Cost]])/Recipes[[#This Row],[Total Cost]]</f>
        <v>0.5714285714285714</v>
      </c>
      <c r="AC21">
        <f>MATCH(Recipes[[#This Row],[Potion]],Potions[Name], 0)</f>
        <v>12</v>
      </c>
      <c r="AD21">
        <f>MATCH(Recipes[[#This Row],[Item 1]],Ingredients[Name], 0)</f>
        <v>15</v>
      </c>
      <c r="AE21">
        <f>MATCH(Recipes[[#This Row],[Item 2]],Ingredients[Name], 0)</f>
        <v>9</v>
      </c>
      <c r="AF21">
        <f>MATCH(Recipes[[#This Row],[Item 3]],Ingredients[Name], 0)</f>
        <v>4</v>
      </c>
      <c r="AG21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4</v>
      </c>
      <c r="AH21" cm="1">
        <f t="array" ref="AH21">INDEX(Potions[Rarity Index], Recipes[[#This Row],[Potion Index]])</f>
        <v>4</v>
      </c>
      <c r="AI21">
        <f>(Recipes[[#This Row],[Item 1]]&gt;Recipes[[#This Row],[Item 2]])+(Recipes[[#This Row],[Item 1]]&gt;Recipes[[#This Row],[Item 3]]) + Recipes[[#This Row],[Ingredient Count]]-2</f>
        <v>3</v>
      </c>
      <c r="AJ21">
        <f>(Recipes[[#This Row],[Item 2]]&gt;Recipes[[#This Row],[Item 1]])+(Recipes[[#This Row],[Item 2]]&gt;Recipes[[#This Row],[Item 3]]) + Recipes[[#This Row],[Ingredient Count]]-2</f>
        <v>1</v>
      </c>
      <c r="AK21">
        <f>(Recipes[[#This Row],[Item 3]]&gt;Recipes[[#This Row],[Item 1]])+(Recipes[[#This Row],[Item 3]]&gt;Recipes[[#This Row],[Item 2]]) + Recipes[[#This Row],[Ingredient Count]]-2</f>
        <v>2</v>
      </c>
      <c r="AL21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Morning Dew + Petals of Light + Amber</v>
      </c>
      <c r="AM21">
        <f>ROW(Recipes[[#This Row],[Row]])-ROW(Recipes[[#Headers],[Row]])</f>
        <v>17</v>
      </c>
      <c r="AN21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21" t="str" cm="1">
        <f t="array" ref="AO21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22" spans="2:42" x14ac:dyDescent="0.25">
      <c r="B22" s="26">
        <f>SUBTOTAL(103,Ingredients[Name])</f>
        <v>17</v>
      </c>
      <c r="C22" s="26"/>
      <c r="E22" s="30">
        <f>SUBTOTAL(101,Ingredients[Cost Grade])</f>
        <v>0.31764705882352939</v>
      </c>
      <c r="F22" s="31">
        <f>SUBTOTAL(101,Ingredients[Cost])</f>
        <v>143.52941176470588</v>
      </c>
      <c r="G22">
        <f>SUBTOTAL(101,Ingredients[Uses])</f>
        <v>2.7058823529411766</v>
      </c>
      <c r="T22" s="4" t="s">
        <v>17</v>
      </c>
      <c r="U22" s="7">
        <f>COUNTIF(Recipes[[#Headers],[Potion]]:Recipes[[#This Row],[Potion]], Recipes[[#This Row],[Potion]])</f>
        <v>2</v>
      </c>
      <c r="V22" s="21" t="s">
        <v>61</v>
      </c>
      <c r="W22" s="21" t="s">
        <v>48</v>
      </c>
      <c r="X22" s="21" t="s">
        <v>49</v>
      </c>
      <c r="Y22">
        <f>COUNTA(Recipes[[#This Row],[Item 1]:[Item 3]])</f>
        <v>3</v>
      </c>
      <c r="Z22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22">
        <f>SUM(IFERROR(INDEX(Ingredients[Cost], Recipes[[#This Row],[Index 1]]), 0), IFERROR(INDEX(Ingredients[Cost], Recipes[[#This Row],[Index 2]]), 0), IFERROR(INDEX(Ingredients[Cost], Recipes[[#This Row],[Index 3]]), 0))</f>
        <v>520</v>
      </c>
      <c r="AB22" s="25" cm="1">
        <f t="array" ref="AB22">(INDEX(Potions[Cost], Recipes[[#This Row],[Potion Index]])-Recipes[[#This Row],[Total Cost]])/Recipes[[#This Row],[Total Cost]]</f>
        <v>0.26923076923076922</v>
      </c>
      <c r="AC22">
        <f>MATCH(Recipes[[#This Row],[Potion]],Potions[Name], 0)</f>
        <v>12</v>
      </c>
      <c r="AD22">
        <f>MATCH(Recipes[[#This Row],[Item 1]],Ingredients[Name], 0)</f>
        <v>15</v>
      </c>
      <c r="AE22">
        <f>MATCH(Recipes[[#This Row],[Item 2]],Ingredients[Name], 0)</f>
        <v>13</v>
      </c>
      <c r="AF22">
        <f>MATCH(Recipes[[#This Row],[Item 3]],Ingredients[Name], 0)</f>
        <v>2</v>
      </c>
      <c r="AG22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4</v>
      </c>
      <c r="AH22" cm="1">
        <f t="array" ref="AH22">INDEX(Potions[Rarity Index], Recipes[[#This Row],[Potion Index]])</f>
        <v>4</v>
      </c>
      <c r="AI22">
        <f>(Recipes[[#This Row],[Item 1]]&gt;Recipes[[#This Row],[Item 2]])+(Recipes[[#This Row],[Item 1]]&gt;Recipes[[#This Row],[Item 3]]) + Recipes[[#This Row],[Ingredient Count]]-2</f>
        <v>3</v>
      </c>
      <c r="AJ22">
        <f>(Recipes[[#This Row],[Item 2]]&gt;Recipes[[#This Row],[Item 1]])+(Recipes[[#This Row],[Item 2]]&gt;Recipes[[#This Row],[Item 3]]) + Recipes[[#This Row],[Ingredient Count]]-2</f>
        <v>1</v>
      </c>
      <c r="AK22">
        <f>(Recipes[[#This Row],[Item 3]]&gt;Recipes[[#This Row],[Item 1]])+(Recipes[[#This Row],[Item 3]]&gt;Recipes[[#This Row],[Item 2]]) + Recipes[[#This Row],[Ingredient Count]]-2</f>
        <v>2</v>
      </c>
      <c r="AL22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Noxious Slime + Petals of Light + Emerald Dust</v>
      </c>
      <c r="AM22">
        <f>ROW(Recipes[[#This Row],[Row]])-ROW(Recipes[[#Headers],[Row]])</f>
        <v>18</v>
      </c>
      <c r="AN22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22" t="str" cm="1">
        <f t="array" ref="AO22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23" spans="2:42" x14ac:dyDescent="0.25">
      <c r="B23" s="5" t="s">
        <v>57</v>
      </c>
      <c r="E23" t="s">
        <v>91</v>
      </c>
      <c r="T23" s="4" t="s">
        <v>96</v>
      </c>
      <c r="U23" s="40">
        <f>COUNTIF(Recipes[[#Headers],[Potion]]:Recipes[[#This Row],[Potion]], Recipes[[#This Row],[Potion]])</f>
        <v>1</v>
      </c>
      <c r="V23" s="21" t="s">
        <v>9</v>
      </c>
      <c r="W23" s="21" t="s">
        <v>95</v>
      </c>
      <c r="X23" s="21"/>
      <c r="Y23" s="41">
        <f>COUNTA(Recipes[[#This Row],[Item 1]:[Item 3]])</f>
        <v>2</v>
      </c>
      <c r="Z23" s="39" t="str">
        <f>IF(Recipes[[#This Row],[Max Rarity Index]]=Recipes[[#This Row],[Potion Rarity Index]], "Equal", IF(Recipes[[#This Row],[Max Rarity Index]]=Recipes[[#This Row],[Potion Rarity Index]]+1, "Elevated", IF(Recipes[[#This Row],[Max Rarity Index]]&lt;Recipes[[#This Row],[Potion Rarity Index]], "Under", "Excessive")))</f>
        <v>Equal</v>
      </c>
      <c r="AA23" s="39">
        <f>SUM(IFERROR(INDEX(Ingredients[Cost], Recipes[[#This Row],[Index 1]]), 0), IFERROR(INDEX(Ingredients[Cost], Recipes[[#This Row],[Index 2]]), 0), IFERROR(INDEX(Ingredients[Cost], Recipes[[#This Row],[Index 3]]), 0))</f>
        <v>960</v>
      </c>
      <c r="AB23" s="42" cm="1">
        <f t="array" ref="AB23">(INDEX(Potions[Cost], Recipes[[#This Row],[Potion Index]])-Recipes[[#This Row],[Total Cost]])/Recipes[[#This Row],[Total Cost]]</f>
        <v>0.40104166666666669</v>
      </c>
      <c r="AC23" s="39">
        <f>MATCH(Recipes[[#This Row],[Potion]],Potions[Name], 0)</f>
        <v>13</v>
      </c>
      <c r="AD23" s="39">
        <f>MATCH(Recipes[[#This Row],[Item 1]],Ingredients[Name], 0)</f>
        <v>17</v>
      </c>
      <c r="AE23" s="39">
        <f>MATCH(Recipes[[#This Row],[Item 2]],Ingredients[Name], 0)</f>
        <v>16</v>
      </c>
      <c r="AF23" s="39" t="e">
        <f>MATCH(Recipes[[#This Row],[Item 3]],Ingredients[Name], 0)</f>
        <v>#N/A</v>
      </c>
      <c r="AG23" s="39">
        <f xml:space="preserve"> MAX(IFERROR(INDEX(Ingredients[Rarity Index], Recipes[[#This Row],[Index 1]]), 0), IFERROR(INDEX(Ingredients[Rarity Index], Recipes[[#This Row],[Index 2]]), 0), IFERROR(INDEX(Ingredients[Rarity Index], Recipes[[#This Row],[Index 3]]), 0))</f>
        <v>5</v>
      </c>
      <c r="AH23" s="39" cm="1">
        <f t="array" ref="AH23">INDEX(Potions[Rarity Index], Recipes[[#This Row],[Potion Index]])</f>
        <v>5</v>
      </c>
      <c r="AI23" s="39">
        <f>(Recipes[[#This Row],[Item 1]]&gt;Recipes[[#This Row],[Item 2]])+(Recipes[[#This Row],[Item 1]]&gt;Recipes[[#This Row],[Item 3]]) + Recipes[[#This Row],[Ingredient Count]]-2</f>
        <v>1</v>
      </c>
      <c r="AJ23" s="39">
        <f>(Recipes[[#This Row],[Item 2]]&gt;Recipes[[#This Row],[Item 1]])+(Recipes[[#This Row],[Item 2]]&gt;Recipes[[#This Row],[Item 3]]) + Recipes[[#This Row],[Ingredient Count]]-2</f>
        <v>2</v>
      </c>
      <c r="AK23" s="39">
        <f>(Recipes[[#This Row],[Item 3]]&gt;Recipes[[#This Row],[Item 1]])+(Recipes[[#This Row],[Item 3]]&gt;Recipes[[#This Row],[Item 2]]) + Recipes[[#This Row],[Ingredient Count]]-2</f>
        <v>0</v>
      </c>
      <c r="AL23" s="39" t="str">
        <f>_xlfn.TEXTJOIN(" + ", TRUE, IF(Recipes[[#This Row],[Ordinal 1]]&gt;0, INDEX(Recipes[[#This Row],[Item 1]:[Item 3]], Recipes[[#This Row],[Ordinal 1]]), ""),  IF(Recipes[[#This Row],[Ordinal 2]]&gt;0, INDEX(Recipes[[#This Row],[Item 1]:[Item 3]], Recipes[[#This Row],[Ordinal 2]]), ""),  IF(Recipes[[#This Row],[Ordinal 3]]&gt;0, INDEX(Recipes[[#This Row],[Item 1]:[Item 3]], Recipes[[#This Row],[Ordinal 3]]), ""))</f>
        <v>Dragon's Egg + Testo</v>
      </c>
      <c r="AM23" s="39">
        <f>ROW(Recipes[[#This Row],[Row]])-ROW(Recipes[[#Headers],[Row]])</f>
        <v>19</v>
      </c>
      <c r="AN23" s="39">
        <f>IF(Recipes[[#This Row],[Combined]]="", -1,
IFERROR(IFERROR(IF(Recipes[[#This Row],[Row]] = 1, NA(), MATCH(Recipes[[#This Row],[Combined]], INDEX(Recipes[Combined], 1):INDEX(Recipes[Combined], Recipes[[#This Row],[Row]]-1), 0)),
IF(Recipes[[#This Row],[Row]]=ROWS(Recipes[]), NA(), Recipes[[#This Row],[Row]]+MATCH(Recipes[[#This Row],[Combined]], INDEX(Recipes[Combined],Recipes[[#This Row],[Row]]+1):INDEX(Recipes[Combined], ROWS(Recipes[])), 0))), 0))</f>
        <v>0</v>
      </c>
      <c r="AO23" s="39" t="str" cm="1">
        <f t="array" ref="AO23">IF(Recipes[[#This Row],[Matching Row]]=-1, "Blank", IF(Recipes[[#This Row],[Matching Row]]=0, "Unique", INDEX(Recipes[Potion],Recipes[[#This Row],[Matching Row]])&amp;" #"&amp; INDEX(Recipes['#],Recipes[[#This Row],[Matching Row]])))</f>
        <v>Unique</v>
      </c>
    </row>
    <row r="24" spans="2:42" x14ac:dyDescent="0.25">
      <c r="T24" s="26">
        <f>SUBTOTAL(103,Recipes[Potion])</f>
        <v>19</v>
      </c>
      <c r="U24" s="28"/>
      <c r="V24" s="29"/>
      <c r="W24" s="29"/>
      <c r="X24" s="29"/>
      <c r="Y24" s="32">
        <f>SUBTOTAL(101,Recipes[Ingredient Count])</f>
        <v>2.4210526315789473</v>
      </c>
      <c r="AA24" s="31">
        <f>SUBTOTAL(101,Recipes[Total Cost])</f>
        <v>245</v>
      </c>
      <c r="AB24" s="27">
        <f>SUBTOTAL(101,Recipes[Profit Margin])</f>
        <v>0.3059855282565308</v>
      </c>
    </row>
    <row r="25" spans="2:42" x14ac:dyDescent="0.25">
      <c r="T25" s="5" t="s">
        <v>93</v>
      </c>
    </row>
    <row r="26" spans="2:42" x14ac:dyDescent="0.25">
      <c r="T26" s="5"/>
    </row>
    <row r="28" spans="2:42" x14ac:dyDescent="0.25">
      <c r="B28" s="5" t="s">
        <v>46</v>
      </c>
    </row>
    <row r="29" spans="2:42" s="3" customFormat="1" ht="17.25" customHeight="1" x14ac:dyDescent="0.25">
      <c r="B29" s="14" t="s">
        <v>90</v>
      </c>
      <c r="C29">
        <f>ROWS(Ingredients[])</f>
        <v>17</v>
      </c>
      <c r="D29"/>
      <c r="E29"/>
      <c r="F29"/>
      <c r="G29"/>
      <c r="J29"/>
      <c r="K29"/>
      <c r="L29"/>
      <c r="M29"/>
      <c r="N29"/>
      <c r="O29"/>
      <c r="P29"/>
      <c r="Q29"/>
      <c r="T29"/>
      <c r="U29"/>
      <c r="V29" s="7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</row>
    <row r="30" spans="2:42" x14ac:dyDescent="0.25">
      <c r="B30" s="14" t="s">
        <v>58</v>
      </c>
      <c r="C30">
        <f>COMBIN(ROWS(Ingredients[]), 2)</f>
        <v>136</v>
      </c>
    </row>
    <row r="31" spans="2:42" x14ac:dyDescent="0.25">
      <c r="B31" s="14" t="s">
        <v>59</v>
      </c>
      <c r="C31">
        <f>COMBIN(ROWS(Ingredients[]), 3)</f>
        <v>680</v>
      </c>
      <c r="D31" s="3"/>
      <c r="E31" s="3"/>
      <c r="F31" s="3"/>
      <c r="G31" s="3"/>
      <c r="J31" s="3"/>
      <c r="K31" s="3"/>
      <c r="L31" s="3"/>
      <c r="M31" s="3"/>
      <c r="N31" s="3"/>
      <c r="O31" s="3"/>
      <c r="P31" s="3"/>
      <c r="Q31" s="3"/>
      <c r="AI31" s="3"/>
    </row>
    <row r="32" spans="2:42" x14ac:dyDescent="0.25">
      <c r="B32" s="15" t="s">
        <v>60</v>
      </c>
      <c r="C32" s="3">
        <f>SUM(C29:C31)</f>
        <v>833</v>
      </c>
    </row>
    <row r="33" spans="2:42" x14ac:dyDescent="0.25">
      <c r="AP33" s="3"/>
    </row>
    <row r="34" spans="2:42" x14ac:dyDescent="0.25">
      <c r="B34" t="s">
        <v>73</v>
      </c>
      <c r="C34">
        <f>COUNTIF(Recipes[Same As?], "Unique")</f>
        <v>19</v>
      </c>
    </row>
    <row r="35" spans="2:42" x14ac:dyDescent="0.25">
      <c r="B35" t="s">
        <v>72</v>
      </c>
      <c r="C35" s="16">
        <f>C34/C32</f>
        <v>2.2809123649459785E-2</v>
      </c>
      <c r="T35" s="3"/>
      <c r="U35" s="3"/>
      <c r="V35" s="9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J35" s="3"/>
      <c r="AK35" s="3"/>
      <c r="AL35" s="3"/>
      <c r="AM35" s="3"/>
      <c r="AN35" s="3"/>
      <c r="AO35" s="3"/>
    </row>
  </sheetData>
  <phoneticPr fontId="4" type="noConversion"/>
  <conditionalFormatting sqref="B5:D21">
    <cfRule type="expression" dxfId="67" priority="39">
      <formula>$D5=5</formula>
    </cfRule>
    <cfRule type="expression" dxfId="66" priority="40">
      <formula>$D5=4</formula>
    </cfRule>
    <cfRule type="expression" dxfId="65" priority="41">
      <formula>$D5=3</formula>
    </cfRule>
    <cfRule type="expression" dxfId="64" priority="42">
      <formula>$D5=2</formula>
    </cfRule>
    <cfRule type="expression" dxfId="63" priority="43">
      <formula>$D5=1</formula>
    </cfRule>
  </conditionalFormatting>
  <conditionalFormatting sqref="E5:E21">
    <cfRule type="dataBar" priority="2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{A6C1AAA3-E18E-435A-9D95-35F8312423EC}</x14:id>
        </ext>
      </extLst>
    </cfRule>
  </conditionalFormatting>
  <conditionalFormatting sqref="F5:G21 I5:I10 F5:F22">
    <cfRule type="dataBar" priority="2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{768DB3E6-322B-4675-A71C-0CC33BAE55BC}</x14:id>
        </ext>
      </extLst>
    </cfRule>
  </conditionalFormatting>
  <conditionalFormatting sqref="G5:G21 I5:I10">
    <cfRule type="dataBar" priority="2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{FBD79B31-C930-48AB-B939-9036E8D214D1}</x14:id>
        </ext>
      </extLst>
    </cfRule>
  </conditionalFormatting>
  <conditionalFormatting sqref="G5:G21">
    <cfRule type="cellIs" dxfId="62" priority="2" operator="lessThan">
      <formula>1</formula>
    </cfRule>
  </conditionalFormatting>
  <conditionalFormatting sqref="J5:L17">
    <cfRule type="expression" dxfId="61" priority="29">
      <formula>$L5=5</formula>
    </cfRule>
    <cfRule type="expression" dxfId="60" priority="30">
      <formula>$L5=4</formula>
    </cfRule>
    <cfRule type="expression" dxfId="59" priority="31">
      <formula>$L5=3</formula>
    </cfRule>
    <cfRule type="expression" dxfId="58" priority="32">
      <formula>$L5=2</formula>
    </cfRule>
    <cfRule type="expression" dxfId="57" priority="33">
      <formula>$L5=1</formula>
    </cfRule>
  </conditionalFormatting>
  <conditionalFormatting sqref="M5:M17">
    <cfRule type="cellIs" dxfId="56" priority="1" operator="lessThan">
      <formula>1</formula>
    </cfRule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{037A0C64-7789-4D1F-A23D-D8BC497FBA7F}</x14:id>
        </ext>
      </extLst>
    </cfRule>
  </conditionalFormatting>
  <conditionalFormatting sqref="N5:P17">
    <cfRule type="dataBar" priority="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{C9FB3D57-A4BA-4975-A360-A529823EE890}</x14:id>
        </ext>
      </extLst>
    </cfRule>
  </conditionalFormatting>
  <conditionalFormatting sqref="O5:O17">
    <cfRule type="expression" dxfId="55" priority="8">
      <formula>O5&gt;P5</formula>
    </cfRule>
  </conditionalFormatting>
  <conditionalFormatting sqref="Q5:Q17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{9335A7AD-9DE9-4B27-A099-67B85F280E7B}</x14:id>
        </ext>
      </extLst>
    </cfRule>
  </conditionalFormatting>
  <conditionalFormatting sqref="T5:T23">
    <cfRule type="expression" dxfId="54" priority="13">
      <formula>INDEX(PotionRarity, AC5)="Legendary"</formula>
    </cfRule>
    <cfRule type="expression" dxfId="53" priority="14">
      <formula>INDEX(PotionRarity, AC5)="Epic"</formula>
    </cfRule>
    <cfRule type="expression" dxfId="52" priority="15">
      <formula>INDEX(PotionRarity, AC5)="Rare"</formula>
    </cfRule>
    <cfRule type="expression" dxfId="51" priority="16">
      <formula>INDEX(PotionRarity, AC5)="Uncommon"</formula>
    </cfRule>
    <cfRule type="expression" dxfId="50" priority="17">
      <formula>INDEX(PotionRarity, AC5)="Common"</formula>
    </cfRule>
  </conditionalFormatting>
  <conditionalFormatting sqref="V5:X5">
    <cfRule type="duplicateValues" dxfId="49" priority="6"/>
  </conditionalFormatting>
  <conditionalFormatting sqref="V5:X23">
    <cfRule type="expression" dxfId="48" priority="18">
      <formula>INDEX(IngredientRarity,AD5)="Legendary"</formula>
    </cfRule>
    <cfRule type="expression" dxfId="47" priority="19">
      <formula>INDEX(IngredientRarity,AD5)="Epic"</formula>
    </cfRule>
    <cfRule type="expression" dxfId="46" priority="20">
      <formula>INDEX(IngredientRarity,AD5)="Rare"</formula>
    </cfRule>
    <cfRule type="expression" dxfId="45" priority="21">
      <formula>INDEX(IngredientRarity,AD5)="Uncommon"</formula>
    </cfRule>
    <cfRule type="expression" dxfId="44" priority="22">
      <formula>INDEX(IngredientRarity,AD5)="Common"</formula>
    </cfRule>
  </conditionalFormatting>
  <conditionalFormatting sqref="W5:W23">
    <cfRule type="expression" dxfId="43" priority="5">
      <formula>W5=V5</formula>
    </cfRule>
  </conditionalFormatting>
  <conditionalFormatting sqref="X5:X23">
    <cfRule type="expression" dxfId="42" priority="4">
      <formula>AND(X5&lt;&gt;"", OR(X5=W5, X5=V5))</formula>
    </cfRule>
  </conditionalFormatting>
  <conditionalFormatting sqref="Y5:Y23">
    <cfRule type="cellIs" dxfId="41" priority="225" operator="lessThan">
      <formula>2</formula>
    </cfRule>
    <cfRule type="dataBar" priority="2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{265428C5-BF75-4A21-92CC-EE4C315D5DC5}</x14:id>
        </ext>
      </extLst>
    </cfRule>
  </conditionalFormatting>
  <conditionalFormatting sqref="Z5:Z23">
    <cfRule type="cellIs" dxfId="40" priority="9" operator="equal">
      <formula>"Excessive"</formula>
    </cfRule>
    <cfRule type="cellIs" dxfId="39" priority="10" operator="equal">
      <formula>"Under"</formula>
    </cfRule>
    <cfRule type="cellIs" dxfId="38" priority="11" operator="equal">
      <formula>"Elevated"</formula>
    </cfRule>
    <cfRule type="cellIs" dxfId="37" priority="12" operator="equal">
      <formula>"Equal"</formula>
    </cfRule>
  </conditionalFormatting>
  <conditionalFormatting sqref="AA5:AA23">
    <cfRule type="dataBar" priority="2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{42FD5F13-D6DB-4218-B008-1A4C87F76A54}</x14:id>
        </ext>
      </extLst>
    </cfRule>
  </conditionalFormatting>
  <conditionalFormatting sqref="AB5:AB23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{8DAE35F3-6BD8-413A-AA1F-F4A308241B35}</x14:id>
        </ext>
      </extLst>
    </cfRule>
  </conditionalFormatting>
  <conditionalFormatting sqref="AO5:AO23">
    <cfRule type="expression" dxfId="36" priority="53">
      <formula>$AN5&gt;0</formula>
    </cfRule>
    <cfRule type="cellIs" dxfId="35" priority="54" operator="equal">
      <formula>"Blank"</formula>
    </cfRule>
    <cfRule type="cellIs" dxfId="34" priority="55" operator="equal">
      <formula>"Unique"</formula>
    </cfRule>
  </conditionalFormatting>
  <dataValidations count="3">
    <dataValidation type="list" allowBlank="1" showInputMessage="1" showErrorMessage="1" sqref="K5:K17 C5:C21" xr:uid="{9EEA8C00-4660-4074-A166-323023D3F1FE}">
      <formula1>INDIRECT("Rarities[Name]")</formula1>
    </dataValidation>
    <dataValidation type="list" allowBlank="1" showInputMessage="1" showErrorMessage="1" sqref="V5:X23" xr:uid="{EEBB70AF-8542-4290-ACC3-4CDDF978BA3B}">
      <formula1>INDIRECT("Ingredients[Name]")</formula1>
    </dataValidation>
    <dataValidation type="list" allowBlank="1" showInputMessage="1" showErrorMessage="1" sqref="T5:T23" xr:uid="{41660AF6-554C-4002-AF79-2AE11B650C78}">
      <formula1>INDIRECT("Potions[Name]")</formula1>
    </dataValidation>
  </dataValidations>
  <pageMargins left="0.7" right="0.7" top="0.75" bottom="0.75" header="0.3" footer="0.3"/>
  <pageSetup orientation="portrait" horizontalDpi="360" verticalDpi="360" r:id="rId1"/>
  <drawing r:id="rId2"/>
  <legacyDrawing r:id="rId3"/>
  <tableParts count="3"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C1AAA3-E18E-435A-9D95-35F8312423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E5:E21</xm:sqref>
        </x14:conditionalFormatting>
        <x14:conditionalFormatting xmlns:xm="http://schemas.microsoft.com/office/excel/2006/main">
          <x14:cfRule type="dataBar" id="{768DB3E6-322B-4675-A71C-0CC33BAE55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F5:G21 I5:I10 F5:F22</xm:sqref>
        </x14:conditionalFormatting>
        <x14:conditionalFormatting xmlns:xm="http://schemas.microsoft.com/office/excel/2006/main">
          <x14:cfRule type="dataBar" id="{FBD79B31-C930-48AB-B939-9036E8D21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G5:G21 I5:I10</xm:sqref>
        </x14:conditionalFormatting>
        <x14:conditionalFormatting xmlns:xm="http://schemas.microsoft.com/office/excel/2006/main">
          <x14:cfRule type="dataBar" id="{037A0C64-7789-4D1F-A23D-D8BC497FBA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M5:M17</xm:sqref>
        </x14:conditionalFormatting>
        <x14:conditionalFormatting xmlns:xm="http://schemas.microsoft.com/office/excel/2006/main">
          <x14:cfRule type="dataBar" id="{C9FB3D57-A4BA-4975-A360-A529823EE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N5:P17</xm:sqref>
        </x14:conditionalFormatting>
        <x14:conditionalFormatting xmlns:xm="http://schemas.microsoft.com/office/excel/2006/main">
          <x14:cfRule type="dataBar" id="{9335A7AD-9DE9-4B27-A099-67B85F280E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Q5:Q17</xm:sqref>
        </x14:conditionalFormatting>
        <x14:conditionalFormatting xmlns:xm="http://schemas.microsoft.com/office/excel/2006/main">
          <x14:cfRule type="dataBar" id="{265428C5-BF75-4A21-92CC-EE4C315D5D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Y5:Y23</xm:sqref>
        </x14:conditionalFormatting>
        <x14:conditionalFormatting xmlns:xm="http://schemas.microsoft.com/office/excel/2006/main">
          <x14:cfRule type="dataBar" id="{42FD5F13-D6DB-4218-B008-1A4C87F76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AA5:AA23</xm:sqref>
        </x14:conditionalFormatting>
        <x14:conditionalFormatting xmlns:xm="http://schemas.microsoft.com/office/excel/2006/main">
          <x14:cfRule type="dataBar" id="{8DAE35F3-6BD8-413A-AA1F-F4A308241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B542-DBA2-49EA-8647-F48D51F4F7FC}">
  <dimension ref="B3:J18"/>
  <sheetViews>
    <sheetView zoomScale="145" zoomScaleNormal="145" workbookViewId="0">
      <selection activeCell="D12" sqref="D12"/>
    </sheetView>
  </sheetViews>
  <sheetFormatPr defaultRowHeight="15" outlineLevelCol="1" x14ac:dyDescent="0.25"/>
  <cols>
    <col min="2" max="2" width="12.5703125" customWidth="1"/>
    <col min="3" max="4" width="14" customWidth="1"/>
    <col min="5" max="5" width="14" hidden="1" customWidth="1" outlineLevel="1"/>
    <col min="6" max="6" width="14" customWidth="1" collapsed="1"/>
    <col min="7" max="7" width="15.42578125" customWidth="1"/>
    <col min="8" max="8" width="15" customWidth="1"/>
    <col min="9" max="9" width="15.42578125" customWidth="1"/>
    <col min="11" max="11" width="13" customWidth="1"/>
  </cols>
  <sheetData>
    <row r="3" spans="2:10" x14ac:dyDescent="0.25">
      <c r="B3" s="5" t="s">
        <v>33</v>
      </c>
      <c r="C3" t="s">
        <v>39</v>
      </c>
    </row>
    <row r="4" spans="2:10" s="1" customFormat="1" ht="30" x14ac:dyDescent="0.25">
      <c r="B4" s="2" t="s">
        <v>20</v>
      </c>
      <c r="C4" s="10" t="s">
        <v>13</v>
      </c>
      <c r="D4" s="10" t="s">
        <v>14</v>
      </c>
      <c r="E4" s="10" t="s">
        <v>37</v>
      </c>
      <c r="F4" s="2" t="s">
        <v>34</v>
      </c>
      <c r="G4" s="2" t="s">
        <v>15</v>
      </c>
      <c r="H4" s="2" t="s">
        <v>21</v>
      </c>
      <c r="I4" s="2" t="s">
        <v>84</v>
      </c>
      <c r="J4" s="2" t="s">
        <v>85</v>
      </c>
    </row>
    <row r="5" spans="2:10" x14ac:dyDescent="0.25">
      <c r="B5" t="s">
        <v>6</v>
      </c>
      <c r="C5" s="4">
        <v>30</v>
      </c>
      <c r="D5" s="4">
        <v>50</v>
      </c>
      <c r="E5">
        <f>Rarities[[#This Row],[Most Expensive]]-Rarities[[#This Row],[Cheapest]]</f>
        <v>20</v>
      </c>
      <c r="F5" s="4">
        <v>1.2</v>
      </c>
      <c r="G5" s="13">
        <f>COUNTIF(Ingredients[Rarity], Rarities[[#This Row],[Name]])</f>
        <v>7</v>
      </c>
      <c r="H5" s="13">
        <f>COUNTIF(Potions[Rarity], Rarities[[#This Row],[Name]])</f>
        <v>4</v>
      </c>
      <c r="I5" s="35">
        <f>Rarities[[#This Row],[Ingredients]]/Rarities[[#Totals],[Ingredients]]</f>
        <v>0.41176470588235292</v>
      </c>
      <c r="J5" s="35">
        <f>Rarities[[#This Row],[Potions]]/Rarities[[#Totals],[Potions]]</f>
        <v>0.30769230769230771</v>
      </c>
    </row>
    <row r="6" spans="2:10" x14ac:dyDescent="0.25">
      <c r="B6" t="s">
        <v>7</v>
      </c>
      <c r="C6" s="4">
        <v>60</v>
      </c>
      <c r="D6" s="4">
        <v>120</v>
      </c>
      <c r="E6">
        <f>Rarities[[#This Row],[Most Expensive]]-Rarities[[#This Row],[Cheapest]]</f>
        <v>60</v>
      </c>
      <c r="F6" s="4">
        <v>1.3</v>
      </c>
      <c r="G6" s="4">
        <f>COUNTIF(Ingredients[Rarity], Rarities[[#This Row],[Name]])</f>
        <v>3</v>
      </c>
      <c r="H6" s="4">
        <f>COUNTIF(Potions[Rarity], Rarities[[#This Row],[Name]])</f>
        <v>4</v>
      </c>
      <c r="I6" s="36">
        <f>Rarities[[#This Row],[Ingredients]]/Rarities[[#Totals],[Ingredients]]</f>
        <v>0.17647058823529413</v>
      </c>
      <c r="J6" s="36">
        <f>Rarities[[#This Row],[Potions]]/Rarities[[#Totals],[Potions]]</f>
        <v>0.30769230769230771</v>
      </c>
    </row>
    <row r="7" spans="2:10" x14ac:dyDescent="0.25">
      <c r="B7" t="s">
        <v>8</v>
      </c>
      <c r="C7" s="4">
        <v>110</v>
      </c>
      <c r="D7" s="4">
        <v>200</v>
      </c>
      <c r="E7">
        <f>Rarities[[#This Row],[Most Expensive]]-Rarities[[#This Row],[Cheapest]]</f>
        <v>90</v>
      </c>
      <c r="F7" s="4">
        <v>1.35</v>
      </c>
      <c r="G7" s="4">
        <f>COUNTIF(Ingredients[Rarity], Rarities[[#This Row],[Name]])</f>
        <v>3</v>
      </c>
      <c r="H7" s="4">
        <f>COUNTIF(Potions[Rarity], Rarities[[#This Row],[Name]])</f>
        <v>3</v>
      </c>
      <c r="I7" s="36">
        <f>Rarities[[#This Row],[Ingredients]]/Rarities[[#Totals],[Ingredients]]</f>
        <v>0.17647058823529413</v>
      </c>
      <c r="J7" s="36">
        <f>Rarities[[#This Row],[Potions]]/Rarities[[#Totals],[Potions]]</f>
        <v>0.23076923076923078</v>
      </c>
    </row>
    <row r="8" spans="2:10" x14ac:dyDescent="0.25">
      <c r="B8" t="s">
        <v>10</v>
      </c>
      <c r="C8" s="4">
        <v>220</v>
      </c>
      <c r="D8" s="4">
        <v>400</v>
      </c>
      <c r="E8">
        <f>Rarities[[#This Row],[Most Expensive]]-Rarities[[#This Row],[Cheapest]]</f>
        <v>180</v>
      </c>
      <c r="F8" s="4">
        <v>1.4</v>
      </c>
      <c r="G8" s="4">
        <f>COUNTIF(Ingredients[Rarity], Rarities[[#This Row],[Name]])</f>
        <v>2</v>
      </c>
      <c r="H8" s="4">
        <f>COUNTIF(Potions[Rarity], Rarities[[#This Row],[Name]])</f>
        <v>1</v>
      </c>
      <c r="I8" s="36">
        <f>Rarities[[#This Row],[Ingredients]]/Rarities[[#Totals],[Ingredients]]</f>
        <v>0.11764705882352941</v>
      </c>
      <c r="J8" s="36">
        <f>Rarities[[#This Row],[Potions]]/Rarities[[#Totals],[Potions]]</f>
        <v>7.6923076923076927E-2</v>
      </c>
    </row>
    <row r="9" spans="2:10" x14ac:dyDescent="0.25">
      <c r="B9" t="s">
        <v>35</v>
      </c>
      <c r="C9" s="4">
        <v>350</v>
      </c>
      <c r="D9" s="4">
        <v>1000</v>
      </c>
      <c r="E9">
        <f>Rarities[[#This Row],[Most Expensive]]-Rarities[[#This Row],[Cheapest]]</f>
        <v>650</v>
      </c>
      <c r="F9" s="4">
        <v>1.4</v>
      </c>
      <c r="G9" s="11">
        <f>COUNTIF(Ingredients[Rarity], Rarities[[#This Row],[Name]])</f>
        <v>2</v>
      </c>
      <c r="H9" s="11">
        <f>COUNTIF(Potions[Rarity], Rarities[[#This Row],[Name]])</f>
        <v>1</v>
      </c>
      <c r="I9" s="37">
        <f>Rarities[[#This Row],[Ingredients]]/Rarities[[#Totals],[Ingredients]]</f>
        <v>0.11764705882352941</v>
      </c>
      <c r="J9" s="37">
        <f>Rarities[[#This Row],[Potions]]/Rarities[[#Totals],[Potions]]</f>
        <v>7.6923076923076927E-2</v>
      </c>
    </row>
    <row r="10" spans="2:10" x14ac:dyDescent="0.25">
      <c r="B10" t="s">
        <v>86</v>
      </c>
      <c r="G10">
        <f>SUBTOTAL(109,Rarities[Ingredients])</f>
        <v>17</v>
      </c>
      <c r="H10">
        <f>SUBTOTAL(109,Rarities[Potions])</f>
        <v>13</v>
      </c>
    </row>
    <row r="15" spans="2:10" x14ac:dyDescent="0.25">
      <c r="B15" s="5" t="s">
        <v>12</v>
      </c>
    </row>
    <row r="16" spans="2:10" x14ac:dyDescent="0.25">
      <c r="B16" s="38" t="s">
        <v>87</v>
      </c>
      <c r="C16" s="38">
        <f>COUNTIF(Recipes[Ingredient Count], 1)</f>
        <v>0</v>
      </c>
    </row>
    <row r="17" spans="2:3" x14ac:dyDescent="0.25">
      <c r="B17" s="38" t="s">
        <v>74</v>
      </c>
      <c r="C17" s="38">
        <f>COUNTIF(Recipes[Ingredient Count], 2)</f>
        <v>11</v>
      </c>
    </row>
    <row r="18" spans="2:3" x14ac:dyDescent="0.25">
      <c r="B18" s="38" t="s">
        <v>75</v>
      </c>
      <c r="C18" s="38">
        <f>COUNTIF(Recipes[Ingredient Count], 3)</f>
        <v>8</v>
      </c>
    </row>
  </sheetData>
  <conditionalFormatting sqref="B5:B9">
    <cfRule type="cellIs" dxfId="33" priority="4" operator="equal">
      <formula>"Legendary"</formula>
    </cfRule>
    <cfRule type="cellIs" dxfId="32" priority="5" operator="equal">
      <formula>"Epic"</formula>
    </cfRule>
    <cfRule type="cellIs" dxfId="31" priority="6" operator="equal">
      <formula>"Rare"</formula>
    </cfRule>
    <cfRule type="cellIs" dxfId="30" priority="7" operator="equal">
      <formula>"Uncommon"</formula>
    </cfRule>
    <cfRule type="cellIs" dxfId="29" priority="8" operator="equal">
      <formula>"Common"</formula>
    </cfRule>
  </conditionalFormatting>
  <conditionalFormatting sqref="C5:D9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{6573F5E1-7CAF-4663-A7FD-2D46E1AD63B3}</x14:id>
        </ext>
      </extLst>
    </cfRule>
  </conditionalFormatting>
  <conditionalFormatting sqref="D5:D9">
    <cfRule type="expression" dxfId="28" priority="9">
      <formula>D5&lt;C5</formula>
    </cfRule>
  </conditionalFormatting>
  <conditionalFormatting sqref="F5:F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{A4D8915F-1388-47C4-9B51-1DFED2FFD05E}</x14:id>
        </ext>
      </extLst>
    </cfRule>
  </conditionalFormatting>
  <conditionalFormatting sqref="G5:G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{63036B71-1C3F-4D0E-B912-0E160C9143F4}</x14:id>
        </ext>
      </extLst>
    </cfRule>
  </conditionalFormatting>
  <conditionalFormatting sqref="H5:H9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{76FC9A67-AE4A-41B1-8F28-790E35AD554E}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73F5E1-7CAF-4663-A7FD-2D46E1AD63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C5:D9</xm:sqref>
        </x14:conditionalFormatting>
        <x14:conditionalFormatting xmlns:xm="http://schemas.microsoft.com/office/excel/2006/main">
          <x14:cfRule type="dataBar" id="{A4D8915F-1388-47C4-9B51-1DFED2FFD0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63036B71-1C3F-4D0E-B912-0E160C9143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G5:G9</xm:sqref>
        </x14:conditionalFormatting>
        <x14:conditionalFormatting xmlns:xm="http://schemas.microsoft.com/office/excel/2006/main">
          <x14:cfRule type="dataBar" id="{76FC9A67-AE4A-41B1-8F28-790E35AD5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Potion Crafting</vt:lpstr>
      <vt:lpstr>Categories</vt:lpstr>
      <vt:lpstr>IngredientRarity</vt:lpstr>
      <vt:lpstr>PotionRarity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Potion Crafting Tuning Dashboard</dc:title>
  <dc:creator>Douglas Gregory</dc:creator>
  <cp:lastModifiedBy>Tarell Thompson</cp:lastModifiedBy>
  <dcterms:created xsi:type="dcterms:W3CDTF">2023-04-02T16:26:43Z</dcterms:created>
  <dcterms:modified xsi:type="dcterms:W3CDTF">2026-01-09T01:52:04Z</dcterms:modified>
</cp:coreProperties>
</file>